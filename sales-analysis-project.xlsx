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hidePivotFieldList="1"/>
  <mc:AlternateContent xmlns:mc="http://schemas.openxmlformats.org/markup-compatibility/2006">
    <mc:Choice Requires="x15">
      <x15ac:absPath xmlns:x15ac="http://schemas.microsoft.com/office/spreadsheetml/2010/11/ac" url="C:\Users\user\Desktop\MY DATA PROJECTS\"/>
    </mc:Choice>
  </mc:AlternateContent>
  <xr:revisionPtr revIDLastSave="0" documentId="13_ncr:1_{9D4562D0-B3ED-4484-9E46-0F5459394C11}" xr6:coauthVersionLast="47" xr6:coauthVersionMax="47" xr10:uidLastSave="{00000000-0000-0000-0000-000000000000}"/>
  <bookViews>
    <workbookView xWindow="-108" yWindow="-108" windowWidth="23256" windowHeight="12456" activeTab="4" xr2:uid="{00000000-000D-0000-FFFF-FFFF00000000}"/>
  </bookViews>
  <sheets>
    <sheet name="Raw Dataset" sheetId="19" r:id="rId1"/>
    <sheet name="Change log" sheetId="20" r:id="rId2"/>
    <sheet name="Processed Data" sheetId="4" r:id="rId3"/>
    <sheet name="Analysis" sheetId="15" r:id="rId4"/>
    <sheet name="Dashboard" sheetId="16" r:id="rId5"/>
  </sheets>
  <definedNames>
    <definedName name="_xlnm._FilterDatabase" localSheetId="2" hidden="1">'Processed Data'!$R$3:$S$13</definedName>
    <definedName name="_xlnm._FilterDatabase" localSheetId="0" hidden="1">'Raw Dataset'!$A$1:$N$513</definedName>
    <definedName name="_xlcn.WorksheetConnection_PROJECT2redo.xlsxOrdersT1" hidden="1">OrdersT[]</definedName>
    <definedName name="Slicer_Category">#N/A</definedName>
    <definedName name="Slicer_Region1">#N/A</definedName>
    <definedName name="Slicer_Sales_Channel">#N/A</definedName>
    <definedName name="Timeline_OrderDate">#N/A</definedName>
  </definedNames>
  <calcPr calcId="191029"/>
  <pivotCaches>
    <pivotCache cacheId="5001" r:id="rId6"/>
    <pivotCache cacheId="5064" r:id="rId7"/>
    <pivotCache cacheId="5067" r:id="rId8"/>
    <pivotCache cacheId="5070" r:id="rId9"/>
    <pivotCache cacheId="5073" r:id="rId10"/>
    <pivotCache cacheId="5076" r:id="rId11"/>
    <pivotCache cacheId="5079" r:id="rId12"/>
    <pivotCache cacheId="5082" r:id="rId13"/>
  </pivotCaches>
  <extLst>
    <ext xmlns:x14="http://schemas.microsoft.com/office/spreadsheetml/2009/9/main" uri="{876F7934-8845-4945-9796-88D515C7AA90}">
      <x14:pivotCaches>
        <pivotCache cacheId="8"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FCE2AD5D-F65C-4FA6-A056-5C36A1767C68}">
      <x15:dataModel>
        <x15:modelTables>
          <x15:modelTable id="OrdersT" name="OrdersT" connection="WorksheetConnection_PROJECT2 redo.xlsx!OrdersT"/>
        </x15:modelTables>
        <x15:extLst>
          <ext xmlns:x16="http://schemas.microsoft.com/office/spreadsheetml/2014/11/main" uri="{9835A34E-60A6-4A7C-AAB8-D5F71C897F49}">
            <x16:modelTimeGroupings>
              <x16:modelTimeGrouping tableName="OrdersT"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C2" i="4" l="1"/>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H77" i="15"/>
  <c r="AC19" i="4" s="1"/>
  <c r="AB23" i="4"/>
  <c r="AA23" i="4"/>
  <c r="Z21" i="4"/>
  <c r="Z22" i="4"/>
  <c r="Z23" i="4"/>
  <c r="T21" i="4"/>
  <c r="T20" i="4"/>
  <c r="U21" i="4"/>
  <c r="U20" i="4"/>
  <c r="V21" i="4"/>
  <c r="V20" i="4"/>
  <c r="D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AA21" i="4" l="1"/>
  <c r="AB21" i="4"/>
  <c r="AA22" i="4"/>
  <c r="AB22" i="4"/>
  <c r="V22" i="4"/>
  <c r="V23" i="4" s="1"/>
  <c r="U22" i="4"/>
  <c r="U24" i="4" s="1"/>
  <c r="T22" i="4"/>
  <c r="T23" i="4" s="1"/>
  <c r="V24" i="4" l="1"/>
  <c r="V25" i="4"/>
  <c r="T24" i="4"/>
  <c r="T25" i="4" s="1"/>
  <c r="U23" i="4"/>
  <c r="U25" i="4" s="1"/>
  <c r="H85" i="15"/>
  <c r="AC23" i="4" s="1"/>
  <c r="H83" i="15"/>
  <c r="AC22" i="4" s="1"/>
  <c r="H81" i="15"/>
  <c r="AC21" i="4" s="1"/>
  <c r="H79" i="15"/>
  <c r="AC20" i="4" s="1"/>
  <c r="O2" i="4"/>
  <c r="O17" i="4"/>
  <c r="O22" i="4"/>
  <c r="O28" i="4"/>
  <c r="O30" i="4"/>
  <c r="O34" i="4"/>
  <c r="O39" i="4"/>
  <c r="O40" i="4"/>
  <c r="O43" i="4"/>
  <c r="O45" i="4"/>
  <c r="O47" i="4"/>
  <c r="O50" i="4"/>
  <c r="O51" i="4"/>
  <c r="O59" i="4"/>
  <c r="O60" i="4"/>
  <c r="O61" i="4"/>
  <c r="O64" i="4"/>
  <c r="O65" i="4"/>
  <c r="O69" i="4"/>
  <c r="O70" i="4"/>
  <c r="O79" i="4"/>
  <c r="O80" i="4"/>
  <c r="O81" i="4"/>
  <c r="O84" i="4"/>
  <c r="O85" i="4"/>
  <c r="O86" i="4"/>
  <c r="O87" i="4"/>
  <c r="O89" i="4"/>
  <c r="O94" i="4"/>
  <c r="O98" i="4"/>
  <c r="O100" i="4"/>
  <c r="O102" i="4"/>
  <c r="O105" i="4"/>
  <c r="O110" i="4"/>
  <c r="O112" i="4"/>
  <c r="O114" i="4"/>
  <c r="O115" i="4"/>
  <c r="O117" i="4"/>
  <c r="O120" i="4"/>
  <c r="O122" i="4"/>
  <c r="O124" i="4"/>
  <c r="O125" i="4"/>
  <c r="O126" i="4"/>
  <c r="O127" i="4"/>
  <c r="O128" i="4"/>
  <c r="O130" i="4"/>
  <c r="O132" i="4"/>
  <c r="O133" i="4"/>
  <c r="O134" i="4"/>
  <c r="O135" i="4"/>
  <c r="O137" i="4"/>
  <c r="O138" i="4"/>
  <c r="O141" i="4"/>
  <c r="O142" i="4"/>
  <c r="O143" i="4"/>
  <c r="O146" i="4"/>
  <c r="O147" i="4"/>
  <c r="O149" i="4"/>
  <c r="O150" i="4"/>
  <c r="O151" i="4"/>
  <c r="O152" i="4"/>
  <c r="O153" i="4"/>
  <c r="O154" i="4"/>
  <c r="O155" i="4"/>
  <c r="O156" i="4"/>
  <c r="O157" i="4"/>
  <c r="O159" i="4"/>
  <c r="O160" i="4"/>
  <c r="O162" i="4"/>
  <c r="O163" i="4"/>
  <c r="O164" i="4"/>
  <c r="O167" i="4"/>
  <c r="O168" i="4"/>
  <c r="O169" i="4"/>
  <c r="O170" i="4"/>
  <c r="O172" i="4"/>
  <c r="O173" i="4"/>
  <c r="O174" i="4"/>
  <c r="O175" i="4"/>
  <c r="O176" i="4"/>
  <c r="O178" i="4"/>
  <c r="O179" i="4"/>
  <c r="O181" i="4"/>
  <c r="O182" i="4"/>
  <c r="O183" i="4"/>
  <c r="O184" i="4"/>
  <c r="O185" i="4"/>
  <c r="O186" i="4"/>
  <c r="O187" i="4"/>
  <c r="O190" i="4"/>
  <c r="O191" i="4"/>
  <c r="O193" i="4"/>
  <c r="O194" i="4"/>
  <c r="O196" i="4"/>
  <c r="O197" i="4"/>
  <c r="O198" i="4"/>
  <c r="O199" i="4"/>
  <c r="O200" i="4"/>
  <c r="O202" i="4"/>
  <c r="O203" i="4"/>
  <c r="O204" i="4"/>
  <c r="O205" i="4"/>
  <c r="O206" i="4"/>
  <c r="O208" i="4"/>
  <c r="O209" i="4"/>
  <c r="O210" i="4"/>
  <c r="O211" i="4"/>
  <c r="O212" i="4"/>
  <c r="O213" i="4"/>
  <c r="O214" i="4"/>
  <c r="O215" i="4"/>
  <c r="O216" i="4"/>
  <c r="O217" i="4"/>
  <c r="O218" i="4"/>
  <c r="O219" i="4"/>
  <c r="O220" i="4"/>
  <c r="O221" i="4"/>
  <c r="O222" i="4"/>
  <c r="O223" i="4"/>
  <c r="O224" i="4"/>
  <c r="O225" i="4"/>
  <c r="O226" i="4"/>
  <c r="O227" i="4"/>
  <c r="O228" i="4"/>
  <c r="O230" i="4"/>
  <c r="O231" i="4"/>
  <c r="O232" i="4"/>
  <c r="O233" i="4"/>
  <c r="O234" i="4"/>
  <c r="O235" i="4"/>
  <c r="O236" i="4"/>
  <c r="O237" i="4"/>
  <c r="O238" i="4"/>
  <c r="O240" i="4"/>
  <c r="O241" i="4"/>
  <c r="O242" i="4"/>
  <c r="O243" i="4"/>
  <c r="O244" i="4"/>
  <c r="O245" i="4"/>
  <c r="O246" i="4"/>
  <c r="O247" i="4"/>
  <c r="O248" i="4"/>
  <c r="O249" i="4"/>
  <c r="O250" i="4"/>
  <c r="O251" i="4"/>
  <c r="O252" i="4"/>
  <c r="O253" i="4"/>
  <c r="O254" i="4"/>
  <c r="O255"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4" i="4"/>
  <c r="O285" i="4"/>
  <c r="O287" i="4"/>
  <c r="O288" i="4"/>
  <c r="O291" i="4"/>
  <c r="O292" i="4"/>
  <c r="O293" i="4"/>
  <c r="O294" i="4"/>
  <c r="O295" i="4"/>
  <c r="O296" i="4"/>
  <c r="O297" i="4"/>
  <c r="O298" i="4"/>
  <c r="O299" i="4"/>
  <c r="O300" i="4"/>
  <c r="O301" i="4"/>
  <c r="O302" i="4"/>
  <c r="O304" i="4"/>
  <c r="O305" i="4"/>
  <c r="O306" i="4"/>
  <c r="O307" i="4"/>
  <c r="O308" i="4"/>
  <c r="O309"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1" i="4"/>
  <c r="O382" i="4"/>
  <c r="O383" i="4"/>
  <c r="O384" i="4"/>
  <c r="O385" i="4"/>
  <c r="O386" i="4"/>
  <c r="O387" i="4"/>
  <c r="O388" i="4"/>
  <c r="O389" i="4"/>
  <c r="O390" i="4"/>
  <c r="O391" i="4"/>
  <c r="O392" i="4"/>
  <c r="O393" i="4"/>
  <c r="O394" i="4"/>
  <c r="O395" i="4"/>
  <c r="O396" i="4"/>
  <c r="O397" i="4"/>
  <c r="O398" i="4"/>
  <c r="O399" i="4"/>
  <c r="O400"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9" i="4"/>
  <c r="O430" i="4"/>
  <c r="O431" i="4"/>
  <c r="O432" i="4"/>
  <c r="O433" i="4"/>
  <c r="O434" i="4"/>
  <c r="O435" i="4"/>
  <c r="O436" i="4"/>
  <c r="O437" i="4"/>
  <c r="O438" i="4"/>
  <c r="O439" i="4"/>
  <c r="O440" i="4"/>
  <c r="O441" i="4"/>
  <c r="O442" i="4"/>
  <c r="O443" i="4"/>
  <c r="O444"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3" i="4"/>
  <c r="O4" i="4"/>
  <c r="O5" i="4"/>
  <c r="O6" i="4"/>
  <c r="O7" i="4"/>
  <c r="O8" i="4"/>
  <c r="O9" i="4"/>
  <c r="O10" i="4"/>
  <c r="O11" i="4"/>
  <c r="O12" i="4"/>
  <c r="O13" i="4"/>
  <c r="O14" i="4"/>
  <c r="O15" i="4"/>
  <c r="O16" i="4"/>
  <c r="O18" i="4"/>
  <c r="O19" i="4"/>
  <c r="O20" i="4"/>
  <c r="O21" i="4"/>
  <c r="O23" i="4"/>
  <c r="O24" i="4"/>
  <c r="O25" i="4"/>
  <c r="O26" i="4"/>
  <c r="O27" i="4"/>
  <c r="O29" i="4"/>
  <c r="O31" i="4"/>
  <c r="O32" i="4"/>
  <c r="O33" i="4"/>
  <c r="O35" i="4"/>
  <c r="O36" i="4"/>
  <c r="O37" i="4"/>
  <c r="O38" i="4"/>
  <c r="O41" i="4"/>
  <c r="O42" i="4"/>
  <c r="O44" i="4"/>
  <c r="O46" i="4"/>
  <c r="O48" i="4"/>
  <c r="O49" i="4"/>
  <c r="O52" i="4"/>
  <c r="O53" i="4"/>
  <c r="O54" i="4"/>
  <c r="O55" i="4"/>
  <c r="O56" i="4"/>
  <c r="O57" i="4"/>
  <c r="O58" i="4"/>
  <c r="O62" i="4"/>
  <c r="O63" i="4"/>
  <c r="O66" i="4"/>
  <c r="O67" i="4"/>
  <c r="O68" i="4"/>
  <c r="O71" i="4"/>
  <c r="O72" i="4"/>
  <c r="O73" i="4"/>
  <c r="O74" i="4"/>
  <c r="O75" i="4"/>
  <c r="O76" i="4"/>
  <c r="O77" i="4"/>
  <c r="O78" i="4"/>
  <c r="O82" i="4"/>
  <c r="O83" i="4"/>
  <c r="O88" i="4"/>
  <c r="O90" i="4"/>
  <c r="O91" i="4"/>
  <c r="O92" i="4"/>
  <c r="O93" i="4"/>
  <c r="O95" i="4"/>
  <c r="O96" i="4"/>
  <c r="O97" i="4"/>
  <c r="O99" i="4"/>
  <c r="O101" i="4"/>
  <c r="O103" i="4"/>
  <c r="O104" i="4"/>
  <c r="O106" i="4"/>
  <c r="O107" i="4"/>
  <c r="O108" i="4"/>
  <c r="O109" i="4"/>
  <c r="O111" i="4"/>
  <c r="O113" i="4"/>
  <c r="O116" i="4"/>
  <c r="O118" i="4"/>
  <c r="O119" i="4"/>
  <c r="O121" i="4"/>
  <c r="O123" i="4"/>
  <c r="O129" i="4"/>
  <c r="O131" i="4"/>
  <c r="O136" i="4"/>
  <c r="O139" i="4"/>
  <c r="O140" i="4"/>
  <c r="O144" i="4"/>
  <c r="O145" i="4"/>
  <c r="O148" i="4"/>
  <c r="O158" i="4"/>
  <c r="O161" i="4"/>
  <c r="O165" i="4"/>
  <c r="O166" i="4"/>
  <c r="O171" i="4"/>
  <c r="O177" i="4"/>
  <c r="O180" i="4"/>
  <c r="O188" i="4"/>
  <c r="O189" i="4"/>
  <c r="O192" i="4"/>
  <c r="O195" i="4"/>
  <c r="O201" i="4"/>
  <c r="O207" i="4"/>
  <c r="O229" i="4"/>
  <c r="O239" i="4"/>
  <c r="O256" i="4"/>
  <c r="O283" i="4"/>
  <c r="O286" i="4"/>
  <c r="O289" i="4"/>
  <c r="O290" i="4"/>
  <c r="O303" i="4"/>
  <c r="O310" i="4"/>
  <c r="O380" i="4"/>
  <c r="O401" i="4"/>
  <c r="O428" i="4"/>
  <c r="O445" i="4"/>
  <c r="AA19" i="4" l="1"/>
  <c r="AA20" i="4"/>
  <c r="W21" i="4"/>
  <c r="Z19" i="4"/>
  <c r="Z20" i="4"/>
  <c r="W20" i="4"/>
  <c r="AB20" i="4"/>
  <c r="AB19" i="4"/>
  <c r="W22" i="4" l="1"/>
  <c r="W24" i="4" s="1"/>
  <c r="W23" i="4" l="1"/>
  <c r="W25"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20CAA6-E5E7-4E3F-B038-03601C5411B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8BBD137-D58C-4A30-BCEB-8DB28C5004DB}" name="WorksheetConnection_PROJECT2 redo.xlsx!OrdersT" type="102" refreshedVersion="7" minRefreshableVersion="5">
    <extLst>
      <ext xmlns:x15="http://schemas.microsoft.com/office/spreadsheetml/2010/11/main" uri="{DE250136-89BD-433C-8126-D09CA5730AF9}">
        <x15:connection id="OrdersT" autoDelete="1">
          <x15:rangePr sourceName="_xlcn.WorksheetConnection_PROJECT2redo.xlsxOrdersT1"/>
        </x15:connection>
      </ext>
    </extLst>
  </connection>
</connections>
</file>

<file path=xl/sharedStrings.xml><?xml version="1.0" encoding="utf-8"?>
<sst xmlns="http://schemas.openxmlformats.org/spreadsheetml/2006/main" count="6324" uniqueCount="316">
  <si>
    <t>OrderID</t>
  </si>
  <si>
    <t>OrderDate</t>
  </si>
  <si>
    <t>CustomerID</t>
  </si>
  <si>
    <t>FirstName</t>
  </si>
  <si>
    <t>LastName</t>
  </si>
  <si>
    <t>Age</t>
  </si>
  <si>
    <t>City</t>
  </si>
  <si>
    <t>Region</t>
  </si>
  <si>
    <t>ProductID</t>
  </si>
  <si>
    <t>ProductName</t>
  </si>
  <si>
    <t>Category</t>
  </si>
  <si>
    <t>Price</t>
  </si>
  <si>
    <t>Quantity</t>
  </si>
  <si>
    <t>TotalAmount</t>
  </si>
  <si>
    <t>Mary</t>
  </si>
  <si>
    <t>Nwosu</t>
  </si>
  <si>
    <t>Enugu</t>
  </si>
  <si>
    <t>South East</t>
  </si>
  <si>
    <t>Mechanical Keyboard</t>
  </si>
  <si>
    <t>Gaming</t>
  </si>
  <si>
    <t>Ada</t>
  </si>
  <si>
    <t>Eze</t>
  </si>
  <si>
    <t>Port Harcourt</t>
  </si>
  <si>
    <t>South South</t>
  </si>
  <si>
    <t>Water Bottle</t>
  </si>
  <si>
    <t>Lifestyle</t>
  </si>
  <si>
    <t>Amina</t>
  </si>
  <si>
    <t>Adeyemi</t>
  </si>
  <si>
    <t>Tablet</t>
  </si>
  <si>
    <t>Electronics</t>
  </si>
  <si>
    <t>Grace</t>
  </si>
  <si>
    <t>Mensah</t>
  </si>
  <si>
    <t>Lagos</t>
  </si>
  <si>
    <t>South West</t>
  </si>
  <si>
    <t>Smartphone</t>
  </si>
  <si>
    <t>David</t>
  </si>
  <si>
    <t>Ibrahim</t>
  </si>
  <si>
    <t>Microwave</t>
  </si>
  <si>
    <t>Home Appliances</t>
  </si>
  <si>
    <t>Chinedu</t>
  </si>
  <si>
    <t>Electric Kettle</t>
  </si>
  <si>
    <t>Balogun</t>
  </si>
  <si>
    <t>Desk Lamp</t>
  </si>
  <si>
    <t>Office</t>
  </si>
  <si>
    <t>Okoro</t>
  </si>
  <si>
    <t>Gaming Mouse</t>
  </si>
  <si>
    <t>Emeka</t>
  </si>
  <si>
    <t>Adebayo</t>
  </si>
  <si>
    <t>Headphones</t>
  </si>
  <si>
    <t>Kano</t>
  </si>
  <si>
    <t>North West</t>
  </si>
  <si>
    <t>Kemi</t>
  </si>
  <si>
    <t>Abuja</t>
  </si>
  <si>
    <t>North Central</t>
  </si>
  <si>
    <t>Backpack</t>
  </si>
  <si>
    <t>Blender</t>
  </si>
  <si>
    <t>Fatima</t>
  </si>
  <si>
    <t>Bello</t>
  </si>
  <si>
    <t>External Drive</t>
  </si>
  <si>
    <t>Ibadan</t>
  </si>
  <si>
    <t>Yakubu</t>
  </si>
  <si>
    <t>Console Stand</t>
  </si>
  <si>
    <t>Okafor</t>
  </si>
  <si>
    <t>Ngozi</t>
  </si>
  <si>
    <t>Printer</t>
  </si>
  <si>
    <t>Bluetooth Speaker</t>
  </si>
  <si>
    <t>Game Controller</t>
  </si>
  <si>
    <t>Air Conditioner</t>
  </si>
  <si>
    <t>Webcam</t>
  </si>
  <si>
    <t>Laptop</t>
  </si>
  <si>
    <t>Laptop Bag</t>
  </si>
  <si>
    <t>Accessories</t>
  </si>
  <si>
    <t>Blessing</t>
  </si>
  <si>
    <t>Travel Adapter</t>
  </si>
  <si>
    <t>Osei</t>
  </si>
  <si>
    <t>Samuel</t>
  </si>
  <si>
    <t>Power Bank</t>
  </si>
  <si>
    <t>Fitness Band</t>
  </si>
  <si>
    <t>USB Cable</t>
  </si>
  <si>
    <t>Tunde</t>
  </si>
  <si>
    <t>Keyboard</t>
  </si>
  <si>
    <t>Fan</t>
  </si>
  <si>
    <t>Smartwatch</t>
  </si>
  <si>
    <t>Joseph</t>
  </si>
  <si>
    <t>Monitor</t>
  </si>
  <si>
    <t>Gaming Headset</t>
  </si>
  <si>
    <t>Mouse</t>
  </si>
  <si>
    <t>SOUTH WEST</t>
  </si>
  <si>
    <t xml:space="preserve"> David </t>
  </si>
  <si>
    <t>unknown</t>
  </si>
  <si>
    <t xml:space="preserve"> Ada </t>
  </si>
  <si>
    <t>South-West</t>
  </si>
  <si>
    <t>electronics</t>
  </si>
  <si>
    <t>home appliances</t>
  </si>
  <si>
    <t xml:space="preserve"> Tunde </t>
  </si>
  <si>
    <t xml:space="preserve"> Amina </t>
  </si>
  <si>
    <t xml:space="preserve"> Grace </t>
  </si>
  <si>
    <t xml:space="preserve">Accessories </t>
  </si>
  <si>
    <t>south west</t>
  </si>
  <si>
    <t xml:space="preserve">ELECTRONICS </t>
  </si>
  <si>
    <t xml:space="preserve"> Kemi </t>
  </si>
  <si>
    <t xml:space="preserve"> Fatima </t>
  </si>
  <si>
    <t xml:space="preserve"> Emeka </t>
  </si>
  <si>
    <t xml:space="preserve"> Blessing </t>
  </si>
  <si>
    <t>FullName</t>
  </si>
  <si>
    <t>Mary Nwosu</t>
  </si>
  <si>
    <t>Ada Eze</t>
  </si>
  <si>
    <t>Amina Adeyemi</t>
  </si>
  <si>
    <t>Grace Mensah</t>
  </si>
  <si>
    <t>David Ibrahim</t>
  </si>
  <si>
    <t>Chinedu Mensah</t>
  </si>
  <si>
    <t>Grace Balogun</t>
  </si>
  <si>
    <t>Ibrahim Okoro</t>
  </si>
  <si>
    <t>Emeka Adebayo</t>
  </si>
  <si>
    <t>David Adeyemi</t>
  </si>
  <si>
    <t>Kemi Nwosu</t>
  </si>
  <si>
    <t>Chinedu Ibrahim</t>
  </si>
  <si>
    <t>Grace Okoro</t>
  </si>
  <si>
    <t>Fatima Bello</t>
  </si>
  <si>
    <t>Chinedu Yakubu</t>
  </si>
  <si>
    <t>Kemi Okafor</t>
  </si>
  <si>
    <t>Ngozi Balogun</t>
  </si>
  <si>
    <t>Chinedu Okafor</t>
  </si>
  <si>
    <t>Kemi Okoro</t>
  </si>
  <si>
    <t>Ngozi Nwosu</t>
  </si>
  <si>
    <t>Fatima Adeyemi</t>
  </si>
  <si>
    <t>Chinedu Adeyemi</t>
  </si>
  <si>
    <t>Ngozi Yakubu</t>
  </si>
  <si>
    <t>Blessing Balogun</t>
  </si>
  <si>
    <t>David Mensah</t>
  </si>
  <si>
    <t>Emeka Osei</t>
  </si>
  <si>
    <t>Amina Yakubu</t>
  </si>
  <si>
    <t>Samuel Yakubu</t>
  </si>
  <si>
    <t>David Okoro</t>
  </si>
  <si>
    <t>Mary Yakubu</t>
  </si>
  <si>
    <t>Ada Okafor</t>
  </si>
  <si>
    <t>David Okafor</t>
  </si>
  <si>
    <t>Emeka Eze</t>
  </si>
  <si>
    <t>Kemi Ibrahim</t>
  </si>
  <si>
    <t>Ibrahim Nwosu</t>
  </si>
  <si>
    <t>Amina Balogun</t>
  </si>
  <si>
    <t>Grace Adeyemi</t>
  </si>
  <si>
    <t>Chinedu Eze</t>
  </si>
  <si>
    <t>Mary Bello</t>
  </si>
  <si>
    <t>Tunde Adebayo</t>
  </si>
  <si>
    <t>Ada Osei</t>
  </si>
  <si>
    <t>Samuel Mensah</t>
  </si>
  <si>
    <t>Fatima Ibrahim</t>
  </si>
  <si>
    <t>Emeka Ibrahim</t>
  </si>
  <si>
    <t>Blessing Nwosu</t>
  </si>
  <si>
    <t>Kemi Adebayo</t>
  </si>
  <si>
    <t>Ngozi Eze</t>
  </si>
  <si>
    <t>Grace Yakubu</t>
  </si>
  <si>
    <t>David Osei</t>
  </si>
  <si>
    <t>Joseph Osei</t>
  </si>
  <si>
    <t>Tunde Nwosu</t>
  </si>
  <si>
    <t>Amina Okoro</t>
  </si>
  <si>
    <t>Joseph Mensah</t>
  </si>
  <si>
    <t>Tunde Balogun</t>
  </si>
  <si>
    <t>Grace Osei</t>
  </si>
  <si>
    <t>Ibrahim Ibrahim</t>
  </si>
  <si>
    <t>David Nwosu</t>
  </si>
  <si>
    <t>Tunde Adeyemi</t>
  </si>
  <si>
    <t>Ada Mensah</t>
  </si>
  <si>
    <t>Samuel Osei</t>
  </si>
  <si>
    <t>Tunde Mensah</t>
  </si>
  <si>
    <t>Blessing Adebayo</t>
  </si>
  <si>
    <t>Amina Okafor</t>
  </si>
  <si>
    <t>Ibrahim Mensah</t>
  </si>
  <si>
    <t>Blessing Osei</t>
  </si>
  <si>
    <t>Grace Ibrahim</t>
  </si>
  <si>
    <t>Blessing Ibrahim</t>
  </si>
  <si>
    <t>Joseph Bello</t>
  </si>
  <si>
    <t>Amina Osei</t>
  </si>
  <si>
    <t>Mary Mensah</t>
  </si>
  <si>
    <t>Ngozi Okafor</t>
  </si>
  <si>
    <t>Samuel Adebayo</t>
  </si>
  <si>
    <t>Amina Mensah</t>
  </si>
  <si>
    <t>Chinedu Balogun</t>
  </si>
  <si>
    <t>Ada Adeyemi</t>
  </si>
  <si>
    <t>Emeka Nwosu</t>
  </si>
  <si>
    <t>Tunde Okoro</t>
  </si>
  <si>
    <t>Chinedu Okoro</t>
  </si>
  <si>
    <t>Ada Balogun</t>
  </si>
  <si>
    <t>Ngozi Adeyemi</t>
  </si>
  <si>
    <t>David Yakubu</t>
  </si>
  <si>
    <t>Blessing Mensah</t>
  </si>
  <si>
    <t>Ngozi Bello</t>
  </si>
  <si>
    <t>Grace Adebayo</t>
  </si>
  <si>
    <t>Mary Okoro</t>
  </si>
  <si>
    <t>Joseph Adebayo</t>
  </si>
  <si>
    <t>Kemi Osei</t>
  </si>
  <si>
    <t>Kemi Yakubu</t>
  </si>
  <si>
    <t>Revenue</t>
  </si>
  <si>
    <t>Row Labels</t>
  </si>
  <si>
    <t>Grand Total</t>
  </si>
  <si>
    <t>Sum of Revenue</t>
  </si>
  <si>
    <t>2024</t>
  </si>
  <si>
    <t>2025</t>
  </si>
  <si>
    <t>Sum of Quantity</t>
  </si>
  <si>
    <t>Average of Revenue</t>
  </si>
  <si>
    <t>Count of OrderID</t>
  </si>
  <si>
    <t>Month</t>
  </si>
  <si>
    <t>Jan</t>
  </si>
  <si>
    <t>Feb</t>
  </si>
  <si>
    <t>Mar</t>
  </si>
  <si>
    <t>Apr</t>
  </si>
  <si>
    <t>May</t>
  </si>
  <si>
    <t>Jun</t>
  </si>
  <si>
    <t>Jul</t>
  </si>
  <si>
    <t>Aug</t>
  </si>
  <si>
    <t>Sept</t>
  </si>
  <si>
    <t>Oct</t>
  </si>
  <si>
    <t>Nov</t>
  </si>
  <si>
    <t>Dec</t>
  </si>
  <si>
    <t>Column Labels</t>
  </si>
  <si>
    <t>year</t>
  </si>
  <si>
    <t>Distinct Count of CustomerID</t>
  </si>
  <si>
    <t>Sales Channel</t>
  </si>
  <si>
    <t>Retail Store</t>
  </si>
  <si>
    <t>Online</t>
  </si>
  <si>
    <t>Marketplace</t>
  </si>
  <si>
    <t>Corporate Sales</t>
  </si>
  <si>
    <t>AOV</t>
  </si>
  <si>
    <t>Total Orders</t>
  </si>
  <si>
    <t>Units Sold</t>
  </si>
  <si>
    <t>Total Customers</t>
  </si>
  <si>
    <t>Growth Rate (year on year)</t>
  </si>
  <si>
    <t>Total Revenue</t>
  </si>
  <si>
    <t>Mean</t>
  </si>
  <si>
    <t>Median</t>
  </si>
  <si>
    <t>Standard Deviation</t>
  </si>
  <si>
    <t>Skewness</t>
  </si>
  <si>
    <t>Minimum</t>
  </si>
  <si>
    <t>Maximum</t>
  </si>
  <si>
    <t>Sum</t>
  </si>
  <si>
    <t>Count</t>
  </si>
  <si>
    <t>AGE</t>
  </si>
  <si>
    <t>OUTLIERS CHECK</t>
  </si>
  <si>
    <t>Q1</t>
  </si>
  <si>
    <t>Q3</t>
  </si>
  <si>
    <t>IQR</t>
  </si>
  <si>
    <t>Lower fence</t>
  </si>
  <si>
    <t>Upper Fence</t>
  </si>
  <si>
    <t xml:space="preserve">OUTLIERS </t>
  </si>
  <si>
    <t>.</t>
  </si>
  <si>
    <t>KPIS</t>
  </si>
  <si>
    <t>Average Order value</t>
  </si>
  <si>
    <t>Total Quantity</t>
  </si>
  <si>
    <t>Age Stats</t>
  </si>
  <si>
    <t>Quantity Stats</t>
  </si>
  <si>
    <t>Revenue stats</t>
  </si>
  <si>
    <t>DESCRIPTIVE STATISTICS(Analysis ToolPak)</t>
  </si>
  <si>
    <t>ID</t>
  </si>
  <si>
    <t>Issue</t>
  </si>
  <si>
    <t>Field</t>
  </si>
  <si>
    <t>Action</t>
  </si>
  <si>
    <t>Rows</t>
  </si>
  <si>
    <t>C01</t>
  </si>
  <si>
    <t>Duplicate orders</t>
  </si>
  <si>
    <t>All</t>
  </si>
  <si>
    <t>Removed (Remove Duplicates)</t>
  </si>
  <si>
    <t>C02</t>
  </si>
  <si>
    <t>Region spelling variants</t>
  </si>
  <si>
    <t>Standardised to "South West"</t>
  </si>
  <si>
    <t>C03</t>
  </si>
  <si>
    <t>Blank region</t>
  </si>
  <si>
    <t>Filled from City</t>
  </si>
  <si>
    <t>C04</t>
  </si>
  <si>
    <t>Category case and spaces</t>
  </si>
  <si>
    <t>Trimmed, standardised</t>
  </si>
  <si>
    <t>C05</t>
  </si>
  <si>
    <t>Spaces in first names</t>
  </si>
  <si>
    <t>Trimmed</t>
  </si>
  <si>
    <t>C06</t>
  </si>
  <si>
    <t>Negative prices</t>
  </si>
  <si>
    <t>C07</t>
  </si>
  <si>
    <t>Age "unknown" or blank</t>
  </si>
  <si>
    <t>Used customer's other orders</t>
  </si>
  <si>
    <t>C08</t>
  </si>
  <si>
    <t>C10</t>
  </si>
  <si>
    <t>No full name</t>
  </si>
  <si>
    <t>Joined first and last name</t>
  </si>
  <si>
    <t>No month field</t>
  </si>
  <si>
    <t>Created from OrderDate</t>
  </si>
  <si>
    <t>No year field</t>
  </si>
  <si>
    <t>Year</t>
  </si>
  <si>
    <t>C11</t>
  </si>
  <si>
    <t>C12</t>
  </si>
  <si>
    <t>C13</t>
  </si>
  <si>
    <t>C15</t>
  </si>
  <si>
    <t>Investigated and made positive</t>
  </si>
  <si>
    <t xml:space="preserve">Used customer's other orders </t>
  </si>
  <si>
    <t xml:space="preserve">Created from OrderDate </t>
  </si>
  <si>
    <t>Total Amount</t>
  </si>
  <si>
    <t>Wrong Format</t>
  </si>
  <si>
    <t>Price, Revenue</t>
  </si>
  <si>
    <t>Formatted as Currency</t>
  </si>
  <si>
    <t>C16</t>
  </si>
  <si>
    <t>Right Product in Wrong Category</t>
  </si>
  <si>
    <t>Product Name</t>
  </si>
  <si>
    <t>Quantity, Age</t>
  </si>
  <si>
    <t>Placed them in their correct Category</t>
  </si>
  <si>
    <t>Formatted as Number</t>
  </si>
  <si>
    <t>Total</t>
  </si>
  <si>
    <t>YoY Groth Rate</t>
  </si>
  <si>
    <t>C09</t>
  </si>
  <si>
    <t xml:space="preserve"> Field name</t>
  </si>
  <si>
    <t>No sales channel data</t>
  </si>
  <si>
    <t>Simulated a sales Channel using Formulas</t>
  </si>
  <si>
    <t>Price Stats</t>
  </si>
  <si>
    <t>Renamed TotalAmount to Revenue ; Recalculated as Price x Quantity</t>
  </si>
  <si>
    <t>Done</t>
  </si>
  <si>
    <t>Blank, inconsistent, and Impossible ages (0,150,unknown,blank)</t>
  </si>
  <si>
    <t>Status</t>
  </si>
  <si>
    <t>C14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</si>
</sst>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5" formatCode="&quot;₦&quot;#,##0;\-&quot;₦&quot;#,##0"/>
    <numFmt numFmtId="42" formatCode="_-&quot;₦&quot;* #,##0_-;\-&quot;₦&quot;* #,##0_-;_-&quot;₦&quot;* &quot;-&quot;_-;_-@_-"/>
    <numFmt numFmtId="44" formatCode="_-&quot;₦&quot;* #,##0.00_-;\-&quot;₦&quot;* #,##0.00_-;_-&quot;₦&quot;* &quot;-&quot;??_-;_-@_-"/>
    <numFmt numFmtId="43" formatCode="_-* #,##0.00_-;\-* #,##0.00_-;_-* &quot;-&quot;??_-;_-@_-"/>
    <numFmt numFmtId="164" formatCode="[$]d\ mmm\ yyyy;@" x16r2:formatCode16="[$-en-NG,1]d\ mmm\ yyyy;@"/>
    <numFmt numFmtId="165" formatCode="_-&quot;₦&quot;* #,##0.0_-;\-&quot;₦&quot;* #,##0.0_-;_-&quot;₦&quot;* &quot;-&quot;??_-;_-@_-"/>
    <numFmt numFmtId="166" formatCode="_-&quot;₦&quot;* #,##0_-;\-&quot;₦&quot;* #,##0_-;_-&quot;₦&quot;* &quot;-&quot;??_-;_-@_-"/>
    <numFmt numFmtId="167" formatCode="_-* #,##0_-;\-* #,##0_-;_-* &quot;-&quot;??_-;_-@_-"/>
    <numFmt numFmtId="168" formatCode="&quot;₦&quot;#,##0"/>
  </numFmts>
  <fonts count="16" x14ac:knownFonts="1">
    <font>
      <sz val="11"/>
      <color theme="1"/>
      <name val="Calibri"/>
      <family val="2"/>
      <scheme val="minor"/>
    </font>
    <font>
      <b/>
      <sz val="11"/>
      <name val="Calibri"/>
    </font>
    <font>
      <b/>
      <sz val="11"/>
      <name val="Calibri"/>
      <family val="2"/>
    </font>
    <font>
      <sz val="11"/>
      <color rgb="FFFF0000"/>
      <name val="Calibri"/>
      <family val="2"/>
      <scheme val="minor"/>
    </font>
    <font>
      <sz val="11"/>
      <color theme="1"/>
      <name val="Calibri"/>
      <family val="2"/>
      <scheme val="minor"/>
    </font>
    <font>
      <b/>
      <sz val="14"/>
      <color theme="5"/>
      <name val="Calibri"/>
      <family val="2"/>
      <scheme val="minor"/>
    </font>
    <font>
      <sz val="11"/>
      <color rgb="FF000000"/>
      <name val="Calibri"/>
      <family val="2"/>
      <scheme val="minor"/>
    </font>
    <font>
      <b/>
      <sz val="14"/>
      <color theme="3" tint="0.39997558519241921"/>
      <name val="Calibri"/>
      <family val="2"/>
      <scheme val="minor"/>
    </font>
    <font>
      <b/>
      <sz val="11"/>
      <color theme="1"/>
      <name val="Calibri"/>
      <family val="2"/>
      <scheme val="minor"/>
    </font>
    <font>
      <sz val="11"/>
      <name val="Calibri"/>
      <family val="2"/>
      <scheme val="minor"/>
    </font>
    <font>
      <i/>
      <sz val="11"/>
      <name val="Calibri"/>
      <family val="2"/>
      <scheme val="minor"/>
    </font>
    <font>
      <b/>
      <sz val="11"/>
      <name val="Calibri"/>
      <family val="2"/>
      <scheme val="minor"/>
    </font>
    <font>
      <b/>
      <sz val="10"/>
      <color rgb="FFFFFFFF"/>
      <name val="Arial"/>
      <charset val="1"/>
    </font>
    <font>
      <sz val="10"/>
      <color rgb="FF000000"/>
      <name val="Arial"/>
      <charset val="1"/>
    </font>
    <font>
      <sz val="8"/>
      <name val="Calibri"/>
      <family val="2"/>
      <scheme val="minor"/>
    </font>
    <font>
      <sz val="10"/>
      <name val="Arial"/>
      <family val="2"/>
    </font>
  </fonts>
  <fills count="9">
    <fill>
      <patternFill patternType="none"/>
    </fill>
    <fill>
      <patternFill patternType="gray125"/>
    </fill>
    <fill>
      <patternFill patternType="solid">
        <fgColor theme="4" tint="0.79998168889431442"/>
        <bgColor theme="5" tint="0.59999389629810485"/>
      </patternFill>
    </fill>
    <fill>
      <patternFill patternType="solid">
        <fgColor theme="4" tint="0.79998168889431442"/>
        <bgColor theme="5" tint="0.79998168889431442"/>
      </patternFill>
    </fill>
    <fill>
      <patternFill patternType="solid">
        <fgColor theme="4" tint="0.79998168889431442"/>
        <bgColor indexed="64"/>
      </patternFill>
    </fill>
    <fill>
      <patternFill patternType="solid">
        <fgColor theme="4"/>
        <bgColor indexed="64"/>
      </patternFill>
    </fill>
    <fill>
      <patternFill patternType="solid">
        <fgColor theme="3" tint="0.79998168889431442"/>
        <bgColor indexed="64"/>
      </patternFill>
    </fill>
    <fill>
      <patternFill patternType="solid">
        <fgColor theme="3" tint="-0.249977111117893"/>
        <bgColor indexed="64"/>
      </patternFill>
    </fill>
    <fill>
      <patternFill patternType="solid">
        <fgColor theme="3" tint="-0.249977111117893"/>
        <bgColor rgb="FF333333"/>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theme="0"/>
      </left>
      <right/>
      <top style="thin">
        <color theme="0"/>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right/>
      <top/>
      <bottom style="thin">
        <color indexed="64"/>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diagonal/>
    </border>
  </borders>
  <cellStyleXfs count="4">
    <xf numFmtId="0" fontId="0"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cellStyleXfs>
  <cellXfs count="62">
    <xf numFmtId="0" fontId="0" fillId="0" borderId="0" xfId="0"/>
    <xf numFmtId="0" fontId="1" fillId="0" borderId="1" xfId="0" applyFont="1" applyBorder="1" applyAlignment="1">
      <alignment horizontal="center" vertical="top"/>
    </xf>
    <xf numFmtId="164" fontId="0" fillId="0" borderId="0" xfId="0" applyNumberFormat="1"/>
    <xf numFmtId="0" fontId="2" fillId="0" borderId="1" xfId="0" applyFont="1" applyBorder="1" applyAlignment="1">
      <alignment horizontal="center" vertical="top"/>
    </xf>
    <xf numFmtId="0" fontId="0" fillId="0" borderId="0" xfId="0" applyAlignment="1">
      <alignment horizontal="left"/>
    </xf>
    <xf numFmtId="1" fontId="2" fillId="0" borderId="1" xfId="0" applyNumberFormat="1" applyFont="1" applyBorder="1" applyAlignment="1">
      <alignment horizontal="center" vertical="top"/>
    </xf>
    <xf numFmtId="1" fontId="0" fillId="0" borderId="0" xfId="0" applyNumberFormat="1"/>
    <xf numFmtId="44" fontId="1" fillId="0" borderId="1" xfId="0" applyNumberFormat="1" applyFont="1" applyBorder="1" applyAlignment="1">
      <alignment horizontal="center" vertical="top"/>
    </xf>
    <xf numFmtId="44" fontId="0" fillId="0" borderId="0" xfId="0" applyNumberFormat="1"/>
    <xf numFmtId="1" fontId="1" fillId="0" borderId="1" xfId="0" applyNumberFormat="1" applyFont="1" applyBorder="1" applyAlignment="1">
      <alignment horizontal="center" vertical="top"/>
    </xf>
    <xf numFmtId="44" fontId="2" fillId="0" borderId="2" xfId="0" applyNumberFormat="1" applyFont="1" applyBorder="1" applyAlignment="1">
      <alignment horizontal="center" vertical="top"/>
    </xf>
    <xf numFmtId="0" fontId="3" fillId="0" borderId="0" xfId="0" applyFont="1" applyAlignment="1">
      <alignment horizontal="centerContinuous"/>
    </xf>
    <xf numFmtId="1" fontId="0" fillId="0" borderId="0" xfId="0" applyNumberFormat="1" applyAlignment="1">
      <alignment horizontal="right"/>
    </xf>
    <xf numFmtId="164" fontId="5" fillId="0" borderId="0" xfId="0" applyNumberFormat="1" applyFont="1" applyAlignment="1">
      <alignment horizontal="right" vertical="center"/>
    </xf>
    <xf numFmtId="1" fontId="5" fillId="0" borderId="0" xfId="0" applyNumberFormat="1" applyFont="1" applyAlignment="1">
      <alignment horizontal="right" vertical="center"/>
    </xf>
    <xf numFmtId="0" fontId="5" fillId="0" borderId="0" xfId="0" applyFont="1" applyAlignment="1">
      <alignment horizontal="right" vertical="center"/>
    </xf>
    <xf numFmtId="1" fontId="5" fillId="0" borderId="0" xfId="0" applyNumberFormat="1" applyFont="1" applyAlignment="1">
      <alignment horizontal="centerContinuous"/>
    </xf>
    <xf numFmtId="0" fontId="6" fillId="0" borderId="0" xfId="0" applyFont="1"/>
    <xf numFmtId="165" fontId="6" fillId="0" borderId="0" xfId="0" applyNumberFormat="1" applyFont="1"/>
    <xf numFmtId="44" fontId="6" fillId="0" borderId="0" xfId="0" applyNumberFormat="1" applyFont="1"/>
    <xf numFmtId="1" fontId="6" fillId="0" borderId="0" xfId="0" applyNumberFormat="1" applyFont="1"/>
    <xf numFmtId="0" fontId="0" fillId="0" borderId="0" xfId="0" pivotButton="1"/>
    <xf numFmtId="166" fontId="0" fillId="0" borderId="0" xfId="0" applyNumberFormat="1"/>
    <xf numFmtId="166" fontId="0" fillId="0" borderId="0" xfId="2" applyNumberFormat="1" applyFont="1"/>
    <xf numFmtId="42" fontId="0" fillId="0" borderId="0" xfId="0" applyNumberFormat="1"/>
    <xf numFmtId="167" fontId="0" fillId="0" borderId="0" xfId="1" applyNumberFormat="1" applyFont="1"/>
    <xf numFmtId="164" fontId="2" fillId="0" borderId="1" xfId="0" applyNumberFormat="1" applyFont="1" applyBorder="1" applyAlignment="1">
      <alignment horizontal="center" vertical="top"/>
    </xf>
    <xf numFmtId="42" fontId="0" fillId="2" borderId="4" xfId="0" applyNumberFormat="1" applyFill="1" applyBorder="1"/>
    <xf numFmtId="9" fontId="0" fillId="2" borderId="5" xfId="3" applyFont="1" applyFill="1" applyBorder="1"/>
    <xf numFmtId="42" fontId="0" fillId="3" borderId="6" xfId="0" applyNumberFormat="1" applyFill="1" applyBorder="1"/>
    <xf numFmtId="0" fontId="0" fillId="3" borderId="3" xfId="0" applyFill="1" applyBorder="1"/>
    <xf numFmtId="168" fontId="0" fillId="4" borderId="0" xfId="0" applyNumberFormat="1" applyFill="1"/>
    <xf numFmtId="9" fontId="0" fillId="4" borderId="0" xfId="3" applyFont="1" applyFill="1"/>
    <xf numFmtId="0" fontId="0" fillId="4" borderId="0" xfId="0" applyFill="1"/>
    <xf numFmtId="5" fontId="0" fillId="0" borderId="0" xfId="0" applyNumberFormat="1"/>
    <xf numFmtId="1" fontId="7" fillId="0" borderId="0" xfId="0" applyNumberFormat="1" applyFont="1"/>
    <xf numFmtId="14" fontId="1" fillId="0" borderId="1" xfId="0" applyNumberFormat="1" applyFont="1" applyBorder="1" applyAlignment="1">
      <alignment horizontal="center" vertical="top"/>
    </xf>
    <xf numFmtId="14" fontId="0" fillId="0" borderId="0" xfId="0" applyNumberFormat="1"/>
    <xf numFmtId="14" fontId="5" fillId="0" borderId="0" xfId="0" applyNumberFormat="1" applyFont="1" applyAlignment="1">
      <alignment horizontal="right" vertical="center"/>
    </xf>
    <xf numFmtId="167" fontId="0" fillId="0" borderId="0" xfId="0" applyNumberFormat="1"/>
    <xf numFmtId="0" fontId="0" fillId="6" borderId="0" xfId="0" applyFill="1"/>
    <xf numFmtId="0" fontId="0" fillId="7" borderId="0" xfId="0" applyFill="1"/>
    <xf numFmtId="0" fontId="8" fillId="5" borderId="0" xfId="0" applyFont="1" applyFill="1"/>
    <xf numFmtId="14" fontId="9" fillId="0" borderId="0" xfId="0" applyNumberFormat="1" applyFont="1"/>
    <xf numFmtId="164" fontId="9" fillId="0" borderId="0" xfId="0" applyNumberFormat="1" applyFont="1"/>
    <xf numFmtId="0" fontId="10" fillId="0" borderId="7" xfId="0" applyFont="1" applyBorder="1" applyAlignment="1">
      <alignment horizontal="center"/>
    </xf>
    <xf numFmtId="0" fontId="11" fillId="6" borderId="0" xfId="0" applyFont="1" applyFill="1" applyAlignment="1">
      <alignment horizontal="centerContinuous"/>
    </xf>
    <xf numFmtId="0" fontId="8" fillId="6" borderId="0" xfId="0" applyFont="1" applyFill="1" applyAlignment="1">
      <alignment horizontal="centerContinuous"/>
    </xf>
    <xf numFmtId="0" fontId="0" fillId="6" borderId="0" xfId="0" applyFill="1" applyAlignment="1">
      <alignment horizontal="centerContinuous"/>
    </xf>
    <xf numFmtId="0" fontId="13" fillId="0" borderId="8" xfId="0" applyFont="1" applyBorder="1" applyAlignment="1">
      <alignment horizontal="left" vertical="top" wrapText="1"/>
    </xf>
    <xf numFmtId="0" fontId="13" fillId="0" borderId="8" xfId="0" applyFont="1" applyBorder="1" applyAlignment="1">
      <alignment horizontal="left" vertical="top"/>
    </xf>
    <xf numFmtId="0" fontId="13" fillId="0" borderId="9" xfId="0" applyFont="1" applyBorder="1" applyAlignment="1">
      <alignment horizontal="center" vertical="top"/>
    </xf>
    <xf numFmtId="0" fontId="12" fillId="8" borderId="10" xfId="0" applyFont="1" applyFill="1" applyBorder="1" applyAlignment="1">
      <alignment vertical="center"/>
    </xf>
    <xf numFmtId="0" fontId="12" fillId="8" borderId="11" xfId="0" applyFont="1" applyFill="1" applyBorder="1" applyAlignment="1">
      <alignment vertical="center"/>
    </xf>
    <xf numFmtId="0" fontId="13" fillId="0" borderId="12" xfId="0" applyFont="1" applyBorder="1" applyAlignment="1">
      <alignment horizontal="left" vertical="top"/>
    </xf>
    <xf numFmtId="9" fontId="0" fillId="0" borderId="0" xfId="0" applyNumberFormat="1"/>
    <xf numFmtId="44" fontId="2" fillId="0" borderId="1" xfId="0" applyNumberFormat="1" applyFont="1" applyBorder="1" applyAlignment="1">
      <alignment horizontal="center" vertical="top"/>
    </xf>
    <xf numFmtId="0" fontId="13" fillId="0" borderId="0" xfId="0" applyFont="1" applyAlignment="1">
      <alignment horizontal="left" vertical="top"/>
    </xf>
    <xf numFmtId="0" fontId="15" fillId="0" borderId="8" xfId="0" applyFont="1" applyBorder="1" applyAlignment="1">
      <alignment horizontal="center" vertical="top"/>
    </xf>
    <xf numFmtId="0" fontId="15" fillId="0" borderId="12" xfId="0" applyFont="1" applyBorder="1" applyAlignment="1">
      <alignment horizontal="center" vertical="top"/>
    </xf>
    <xf numFmtId="0" fontId="0" fillId="0" borderId="0" xfId="0" applyNumberFormat="1"/>
    <xf numFmtId="4" fontId="0" fillId="0" borderId="0" xfId="0" applyNumberFormat="1"/>
  </cellXfs>
  <cellStyles count="4">
    <cellStyle name="Comma" xfId="1" builtinId="3"/>
    <cellStyle name="Currency" xfId="2" builtinId="4"/>
    <cellStyle name="Normal" xfId="0" builtinId="0"/>
    <cellStyle name="Percent" xfId="3" builtinId="5"/>
  </cellStyles>
  <dxfs count="54">
    <dxf>
      <numFmt numFmtId="32" formatCode="_-&quot;₦&quot;* #,##0_-;\-&quot;₦&quot;* #,##0_-;_-&quot;₦&quot;* &quot;-&quot;_-;_-@_-"/>
    </dxf>
    <dxf>
      <numFmt numFmtId="1" formatCode="0"/>
    </dxf>
    <dxf>
      <numFmt numFmtId="167" formatCode="_-* #,##0_-;\-* #,##0_-;_-* &quot;-&quot;??_-;_-@_-"/>
    </dxf>
    <dxf>
      <numFmt numFmtId="32" formatCode="_-&quot;₦&quot;* #,##0_-;\-&quot;₦&quot;* #,##0_-;_-&quot;₦&quot;* &quot;-&quot;_-;_-@_-"/>
    </dxf>
    <dxf>
      <numFmt numFmtId="1" formatCode="0"/>
    </dxf>
    <dxf>
      <numFmt numFmtId="167" formatCode="_-* #,##0_-;\-* #,##0_-;_-* &quot;-&quot;??_-;_-@_-"/>
    </dxf>
    <dxf>
      <numFmt numFmtId="9" formatCode="&quot;₦&quot;#,##0;\-&quot;₦&quot;#,##0"/>
    </dxf>
    <dxf>
      <numFmt numFmtId="9" formatCode="&quot;₦&quot;#,##0;\-&quot;₦&quot;#,##0"/>
    </dxf>
    <dxf>
      <numFmt numFmtId="9" formatCode="&quot;₦&quot;#,##0;\-&quot;₦&quot;#,##0"/>
    </dxf>
    <dxf>
      <numFmt numFmtId="167" formatCode="_-* #,##0_-;\-* #,##0_-;_-* &quot;-&quot;??_-;_-@_-"/>
    </dxf>
    <dxf>
      <numFmt numFmtId="1" formatCode="0"/>
    </dxf>
    <dxf>
      <numFmt numFmtId="32" formatCode="_-&quot;₦&quot;* #,##0_-;\-&quot;₦&quot;* #,##0_-;_-&quot;₦&quot;* &quot;-&quot;_-;_-@_-"/>
    </dxf>
    <dxf>
      <numFmt numFmtId="13" formatCode="0%"/>
    </dxf>
    <dxf>
      <font>
        <strike val="0"/>
        <outline val="0"/>
        <shadow val="0"/>
        <u val="none"/>
        <vertAlign val="baseline"/>
        <sz val="11"/>
        <color theme="1"/>
        <name val="Calibri"/>
        <family val="2"/>
        <scheme val="minor"/>
      </font>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dxf>
    <dxf>
      <numFmt numFmtId="0" formatCode="General"/>
    </dxf>
    <dxf>
      <numFmt numFmtId="34" formatCode="_-&quot;₦&quot;* #,##0.00_-;\-&quot;₦&quot;* #,##0.00_-;_-&quot;₦&quot;* &quot;-&quot;??_-;_-@_-"/>
    </dxf>
    <dxf>
      <numFmt numFmtId="1" formatCode="0"/>
    </dxf>
    <dxf>
      <numFmt numFmtId="34" formatCode="_-&quot;₦&quot;* #,##0.00_-;\-&quot;₦&quot;* #,##0.00_-;_-&quot;₦&quot;* &quot;-&quot;??_-;_-@_-"/>
    </dxf>
    <dxf>
      <numFmt numFmtId="1" formatCode="0"/>
    </dxf>
    <dxf>
      <alignment horizontal="left" vertical="bottom" textRotation="0" wrapText="0" indent="0" justifyLastLine="0" shrinkToFit="0" readingOrder="0"/>
    </dxf>
    <dxf>
      <alignment horizontal="left" vertical="bottom" textRotation="0" wrapText="0" indent="0" justifyLastLine="0" shrinkToFit="0" readingOrder="0"/>
    </dxf>
    <dxf>
      <numFmt numFmtId="1" formatCode="0"/>
    </dxf>
    <dxf>
      <numFmt numFmtId="1" formatCode="0"/>
    </dxf>
    <dxf>
      <numFmt numFmtId="164" formatCode="[$]d\ mmm\ yyyy;@" x16r2:formatCode16="[$-en-NG,1]d\ mmm\ yyyy;@"/>
    </dxf>
    <dxf>
      <numFmt numFmtId="19" formatCode="dd/mm/yyyy"/>
    </dxf>
    <dxf>
      <numFmt numFmtId="1" formatCode="0"/>
    </dxf>
    <dxf>
      <font>
        <b val="0"/>
        <i val="0"/>
        <strike val="0"/>
        <condense val="0"/>
        <extend val="0"/>
        <outline val="0"/>
        <shadow val="0"/>
        <u val="none"/>
        <vertAlign val="baseline"/>
        <sz val="10"/>
        <color rgb="FF000000"/>
        <name val="Arial"/>
        <charset val="1"/>
        <scheme val="none"/>
      </font>
      <alignment horizontal="left" vertical="top" textRotation="0" wrapText="0" indent="0" justifyLastLine="0" shrinkToFit="0" readingOrder="0"/>
    </dxf>
    <dxf>
      <font>
        <b val="0"/>
        <i val="0"/>
        <strike val="0"/>
        <condense val="0"/>
        <extend val="0"/>
        <outline val="0"/>
        <shadow val="0"/>
        <u val="none"/>
        <vertAlign val="baseline"/>
        <sz val="10"/>
        <color rgb="FF0000FF"/>
        <name val="Arial"/>
        <charset val="1"/>
        <scheme val="none"/>
      </font>
      <alignment horizontal="center"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alignment horizontal="left" vertical="top"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alignment horizontal="lef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alignment horizontal="lef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alignment horizontal="center" vertical="top" textRotation="0" wrapText="0"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alignment horizontal="left" vertical="top" textRotation="0" wrapText="0" indent="0" justifyLastLine="0" shrinkToFit="0" readingOrder="0"/>
    </dxf>
    <dxf>
      <border outline="0">
        <bottom style="thin">
          <color rgb="FFBFBFBF"/>
        </bottom>
      </border>
    </dxf>
    <dxf>
      <font>
        <b/>
        <i val="0"/>
        <strike val="0"/>
        <condense val="0"/>
        <extend val="0"/>
        <outline val="0"/>
        <shadow val="0"/>
        <u val="none"/>
        <vertAlign val="baseline"/>
        <sz val="10"/>
        <color rgb="FFFFFFFF"/>
        <name val="Arial"/>
        <charset val="1"/>
        <scheme val="none"/>
      </font>
      <fill>
        <patternFill patternType="solid">
          <fgColor rgb="FF333333"/>
          <bgColor theme="3" tint="-0.249977111117893"/>
        </patternFill>
      </fill>
      <alignment horizontal="general" vertical="center" textRotation="0" wrapText="0" indent="0" justifyLastLine="0" shrinkToFit="0" readingOrder="0"/>
      <border diagonalUp="0" diagonalDown="0" outline="0">
        <left style="thin">
          <color rgb="FFBFBFBF"/>
        </left>
        <right style="thin">
          <color rgb="FFBFBFBF"/>
        </right>
        <top/>
        <bottom/>
      </border>
    </dxf>
    <dxf>
      <font>
        <b/>
        <sz val="11"/>
        <color theme="1"/>
      </font>
    </dxf>
    <dxf>
      <font>
        <color rgb="FF002060"/>
      </font>
      <fill>
        <patternFill>
          <bgColor theme="4" tint="0.39994506668294322"/>
        </patternFill>
      </fill>
    </dxf>
    <dxf>
      <font>
        <b/>
        <i val="0"/>
        <sz val="12"/>
        <color theme="1"/>
      </font>
    </dxf>
    <dxf>
      <font>
        <sz val="12"/>
        <color theme="0"/>
      </font>
      <fill>
        <gradientFill degree="270">
          <stop position="0">
            <color theme="0"/>
          </stop>
          <stop position="1">
            <color rgb="FF002060"/>
          </stop>
        </gradientFill>
      </fill>
    </dxf>
    <dxf>
      <font>
        <b/>
        <i val="0"/>
        <color theme="1"/>
      </font>
    </dxf>
  </dxfs>
  <tableStyles count="3" defaultTableStyle="TableStyleMedium2" defaultPivotStyle="PivotStyleLight16">
    <tableStyle name="Slicer Style 1" pivot="0" table="0" count="4" xr9:uid="{B07CA417-48AB-410D-BE11-970DDD5ECF53}">
      <tableStyleElement type="headerRow" dxfId="53"/>
    </tableStyle>
    <tableStyle name="Slicer Style 2" pivot="0" table="0" count="4" xr9:uid="{90C2572E-12A1-4B46-BF4D-CF888D60F8E5}">
      <tableStyleElement type="wholeTable" dxfId="52"/>
      <tableStyleElement type="headerRow" dxfId="51"/>
    </tableStyle>
    <tableStyle name="Timeline Style 1" pivot="0" table="0" count="8" xr9:uid="{70FA0499-312C-4599-A5A4-A0E9AF8563B9}">
      <tableStyleElement type="wholeTable" dxfId="50"/>
      <tableStyleElement type="headerRow" dxfId="49"/>
    </tableStyle>
  </tableStyles>
  <colors>
    <mruColors>
      <color rgb="FF000E64"/>
      <color rgb="FF000066"/>
      <color rgb="FF001642"/>
      <color rgb="FF001F5C"/>
      <color rgb="FF003399"/>
      <color rgb="FF001C54"/>
      <color rgb="FFB48900"/>
      <color rgb="FF2F954F"/>
      <color rgb="FF639729"/>
      <color rgb="FFFF2121"/>
    </mruColors>
  </colors>
  <extLst>
    <ext xmlns:x14="http://schemas.microsoft.com/office/spreadsheetml/2009/9/main" uri="{46F421CA-312F-682f-3DD2-61675219B42D}">
      <x14:dxfs count="5">
        <dxf>
          <font>
            <color theme="1"/>
          </font>
          <fill>
            <patternFill>
              <bgColor theme="0" tint="-0.14996795556505021"/>
            </patternFill>
          </fill>
        </dxf>
        <dxf>
          <fill>
            <patternFill>
              <bgColor rgb="FF001F5C"/>
            </patternFill>
          </fill>
        </dxf>
        <dxf>
          <font>
            <color theme="0"/>
          </font>
          <fill>
            <gradientFill degree="270">
              <stop position="0">
                <color theme="0"/>
              </stop>
              <stop position="1">
                <color theme="4"/>
              </stop>
            </gradientFill>
          </fill>
        </dxf>
        <dxf>
          <font>
            <color theme="0"/>
          </font>
          <fill>
            <patternFill>
              <bgColor theme="4" tint="-0.24994659260841701"/>
            </patternFill>
          </fill>
        </dxf>
        <dxf>
          <fill>
            <patternFill>
              <bgColor theme="3"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selectedItemWithData" dxfId="3"/>
            <x14:slicerStyleElement type="selectedItemWithNoData" dxfId="2"/>
          </x14:slicerStyleElements>
        </x14:slicerStyle>
        <x14:slicerStyle name="Slicer Style 2">
          <x14:slicerStyleElements>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b/>
            <i val="0"/>
            <sz val="9"/>
            <color theme="1"/>
          </font>
        </dxf>
        <dxf>
          <font>
            <b/>
            <i val="0"/>
            <sz val="9"/>
            <color auto="1"/>
          </font>
        </dxf>
        <dxf>
          <font>
            <sz val="9"/>
            <color theme="1"/>
          </font>
        </dxf>
        <dxf>
          <font>
            <sz val="10"/>
            <color theme="1"/>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0.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3.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pivotCacheDefinition" Target="pivotCache/pivotCacheDefinition5.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Project.xlsx]Analysis!Monthly Revenue Trend</c:name>
    <c:fmtId val="1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rgbClr val="002060"/>
                </a:solidFill>
                <a:latin typeface="+mn-lt"/>
                <a:ea typeface="+mn-ea"/>
                <a:cs typeface="+mn-cs"/>
              </a:defRPr>
            </a:pPr>
            <a:r>
              <a:rPr lang="en-GB" sz="1600" b="1" i="0" baseline="0">
                <a:solidFill>
                  <a:srgbClr val="002060"/>
                </a:solidFill>
                <a:effectLst/>
              </a:rPr>
              <a:t>Revenue by Month</a:t>
            </a:r>
            <a:endParaRPr lang="en-NG" sz="1600">
              <a:solidFill>
                <a:srgbClr val="002060"/>
              </a:solidFill>
              <a:effectLst/>
            </a:endParaRPr>
          </a:p>
        </c:rich>
      </c:tx>
      <c:layout>
        <c:manualLayout>
          <c:xMode val="edge"/>
          <c:yMode val="edge"/>
          <c:x val="0.264034999508309"/>
          <c:y val="3.816890080351474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rgbClr val="002060"/>
              </a:solidFill>
              <a:latin typeface="+mn-lt"/>
              <a:ea typeface="+mn-ea"/>
              <a:cs typeface="+mn-cs"/>
            </a:defRPr>
          </a:pPr>
          <a:endParaRPr lang="en-NG"/>
        </a:p>
      </c:txPr>
    </c:title>
    <c:autoTitleDeleted val="0"/>
    <c:pivotFmts>
      <c:pivotFmt>
        <c:idx val="0"/>
        <c:spPr>
          <a:solidFill>
            <a:schemeClr val="accent1"/>
          </a:solidFill>
          <a:ln w="28575" cap="rnd">
            <a:solidFill>
              <a:srgbClr val="C00000"/>
            </a:solidFill>
            <a:round/>
          </a:ln>
          <a:effectLst/>
        </c:spPr>
        <c:marker>
          <c:symbol val="circle"/>
          <c:size val="5"/>
          <c:spPr>
            <a:solidFill>
              <a:srgbClr val="C00000"/>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2617B9"/>
            </a:solidFill>
            <a:round/>
          </a:ln>
          <a:effectLst/>
        </c:spPr>
        <c:marker>
          <c:symbol val="circle"/>
          <c:size val="5"/>
          <c:spPr>
            <a:solidFill>
              <a:srgbClr val="2617B9"/>
            </a:solidFill>
            <a:ln w="9525">
              <a:solidFill>
                <a:srgbClr val="2617B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2617B9"/>
            </a:solidFill>
            <a:round/>
          </a:ln>
          <a:effectLst/>
        </c:spPr>
        <c:marker>
          <c:symbol val="circle"/>
          <c:size val="5"/>
          <c:spPr>
            <a:solidFill>
              <a:srgbClr val="2617B9"/>
            </a:solidFill>
            <a:ln w="9525">
              <a:solidFill>
                <a:srgbClr val="2617B9"/>
              </a:solidFill>
            </a:ln>
            <a:effectLst/>
          </c:spPr>
        </c:marker>
      </c:pivotFmt>
      <c:pivotFmt>
        <c:idx val="3"/>
        <c:spPr>
          <a:solidFill>
            <a:schemeClr val="accent1"/>
          </a:solidFill>
          <a:ln w="28575" cap="rnd">
            <a:solidFill>
              <a:srgbClr val="C00000"/>
            </a:solidFill>
            <a:round/>
          </a:ln>
          <a:effectLst/>
        </c:spPr>
        <c:marker>
          <c:symbol val="circle"/>
          <c:size val="5"/>
          <c:spPr>
            <a:solidFill>
              <a:srgbClr val="C00000"/>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2617B9"/>
            </a:solidFill>
            <a:round/>
          </a:ln>
          <a:effectLst/>
        </c:spPr>
        <c:marker>
          <c:symbol val="circle"/>
          <c:size val="5"/>
          <c:spPr>
            <a:solidFill>
              <a:srgbClr val="2617B9"/>
            </a:solidFill>
            <a:ln w="9525">
              <a:solidFill>
                <a:srgbClr val="2617B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tx1">
                <a:lumMod val="50000"/>
                <a:lumOff val="50000"/>
              </a:schemeClr>
            </a:solidFill>
            <a:round/>
          </a:ln>
          <a:effectLst/>
        </c:spPr>
        <c:marker>
          <c:symbol val="circle"/>
          <c:size val="5"/>
          <c:spPr>
            <a:solidFill>
              <a:schemeClr val="tx1">
                <a:lumMod val="50000"/>
                <a:lumOff val="50000"/>
              </a:schemeClr>
            </a:solidFill>
            <a:ln w="9525">
              <a:solidFill>
                <a:schemeClr val="tx1">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0066"/>
            </a:solidFill>
            <a:round/>
          </a:ln>
          <a:effectLst/>
        </c:spPr>
        <c:marker>
          <c:symbol val="circle"/>
          <c:size val="5"/>
          <c:spPr>
            <a:solidFill>
              <a:srgbClr val="000066"/>
            </a:solidFill>
            <a:ln w="9525">
              <a:solidFill>
                <a:srgbClr val="00006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tx1">
                <a:lumMod val="50000"/>
                <a:lumOff val="50000"/>
              </a:schemeClr>
            </a:solidFill>
            <a:round/>
          </a:ln>
          <a:effectLst/>
        </c:spPr>
        <c:marker>
          <c:symbol val="circle"/>
          <c:size val="5"/>
          <c:spPr>
            <a:solidFill>
              <a:schemeClr val="tx1">
                <a:lumMod val="50000"/>
                <a:lumOff val="50000"/>
              </a:schemeClr>
            </a:solidFill>
            <a:ln w="9525">
              <a:solidFill>
                <a:schemeClr val="tx1">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0066"/>
            </a:solidFill>
            <a:round/>
          </a:ln>
          <a:effectLst/>
        </c:spPr>
        <c:marker>
          <c:symbol val="circle"/>
          <c:size val="5"/>
          <c:spPr>
            <a:solidFill>
              <a:srgbClr val="000066"/>
            </a:solidFill>
            <a:ln w="9525">
              <a:solidFill>
                <a:srgbClr val="00006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tx1">
                <a:lumMod val="50000"/>
                <a:lumOff val="50000"/>
              </a:schemeClr>
            </a:solidFill>
            <a:round/>
          </a:ln>
          <a:effectLst>
            <a:outerShdw blurRad="50800" dist="38100" dir="2700000" algn="tl" rotWithShape="0">
              <a:prstClr val="black">
                <a:alpha val="40000"/>
              </a:prstClr>
            </a:outerShdw>
          </a:effectLst>
        </c:spPr>
        <c:marker>
          <c:symbol val="circle"/>
          <c:size val="5"/>
          <c:spPr>
            <a:solidFill>
              <a:schemeClr val="tx1">
                <a:lumMod val="50000"/>
                <a:lumOff val="50000"/>
              </a:schemeClr>
            </a:solidFill>
            <a:ln w="9525">
              <a:solidFill>
                <a:schemeClr val="tx1">
                  <a:lumMod val="50000"/>
                  <a:lumOff val="50000"/>
                </a:schemeClr>
              </a:solidFill>
            </a:ln>
            <a:effectLst>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000066"/>
            </a:solidFill>
            <a:round/>
          </a:ln>
          <a:effectLst>
            <a:outerShdw blurRad="50800" dist="38100" dir="2700000" algn="tl" rotWithShape="0">
              <a:prstClr val="black">
                <a:alpha val="40000"/>
              </a:prstClr>
            </a:outerShdw>
          </a:effectLst>
        </c:spPr>
        <c:marker>
          <c:symbol val="circle"/>
          <c:size val="5"/>
          <c:spPr>
            <a:solidFill>
              <a:srgbClr val="000066"/>
            </a:solidFill>
            <a:ln w="9525">
              <a:solidFill>
                <a:srgbClr val="000066"/>
              </a:solidFill>
            </a:ln>
            <a:effectLst>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bg1">
                <a:lumMod val="50000"/>
              </a:schemeClr>
            </a:solidFill>
            <a:round/>
          </a:ln>
          <a:effectLst/>
        </c:spPr>
        <c:marker>
          <c:symbol val="circle"/>
          <c:size val="5"/>
          <c:spPr>
            <a:solidFill>
              <a:schemeClr val="bg1">
                <a:lumMod val="50000"/>
              </a:schemeClr>
            </a:solidFill>
            <a:ln w="9525">
              <a:solidFill>
                <a:schemeClr val="bg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000E64"/>
            </a:solidFill>
            <a:round/>
          </a:ln>
          <a:effectLst/>
        </c:spPr>
        <c:marker>
          <c:symbol val="circle"/>
          <c:size val="5"/>
          <c:spPr>
            <a:solidFill>
              <a:srgbClr val="000066"/>
            </a:solidFill>
            <a:ln w="9525">
              <a:solidFill>
                <a:srgbClr val="000E6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Analysis!$B$59:$B$60</c:f>
              <c:strCache>
                <c:ptCount val="1"/>
                <c:pt idx="0">
                  <c:v>2024</c:v>
                </c:pt>
              </c:strCache>
            </c:strRef>
          </c:tx>
          <c:spPr>
            <a:ln w="28575" cap="rnd">
              <a:solidFill>
                <a:schemeClr val="bg1">
                  <a:lumMod val="50000"/>
                </a:schemeClr>
              </a:solidFill>
              <a:round/>
            </a:ln>
            <a:effectLst/>
          </c:spPr>
          <c:marker>
            <c:symbol val="circle"/>
            <c:size val="5"/>
            <c:spPr>
              <a:solidFill>
                <a:schemeClr val="bg1">
                  <a:lumMod val="50000"/>
                </a:schemeClr>
              </a:solidFill>
              <a:ln w="9525">
                <a:solidFill>
                  <a:schemeClr val="bg1">
                    <a:lumMod val="50000"/>
                  </a:schemeClr>
                </a:solidFill>
              </a:ln>
              <a:effectLst/>
            </c:spPr>
          </c:marker>
          <c:cat>
            <c:strRef>
              <c:f>Analysis!$A$61:$A$73</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Analysis!$B$61:$B$73</c:f>
              <c:numCache>
                <c:formatCode>_("₦"* #,##0_);_("₦"* \(#,##0\);_("₦"* "-"_);_(@_)</c:formatCode>
                <c:ptCount val="12"/>
                <c:pt idx="0">
                  <c:v>62445.210000000006</c:v>
                </c:pt>
                <c:pt idx="1">
                  <c:v>34598.78</c:v>
                </c:pt>
                <c:pt idx="2">
                  <c:v>63008.249999999993</c:v>
                </c:pt>
                <c:pt idx="3">
                  <c:v>60556.969999999994</c:v>
                </c:pt>
                <c:pt idx="4">
                  <c:v>56337.24</c:v>
                </c:pt>
                <c:pt idx="5">
                  <c:v>45336.63</c:v>
                </c:pt>
                <c:pt idx="6">
                  <c:v>34807.160000000003</c:v>
                </c:pt>
                <c:pt idx="7">
                  <c:v>59867.069999999992</c:v>
                </c:pt>
                <c:pt idx="8">
                  <c:v>49853.599999999999</c:v>
                </c:pt>
                <c:pt idx="9">
                  <c:v>89485.95</c:v>
                </c:pt>
                <c:pt idx="10">
                  <c:v>76893.75</c:v>
                </c:pt>
                <c:pt idx="11">
                  <c:v>62032.5</c:v>
                </c:pt>
              </c:numCache>
            </c:numRef>
          </c:val>
          <c:smooth val="0"/>
          <c:extLst>
            <c:ext xmlns:c16="http://schemas.microsoft.com/office/drawing/2014/chart" uri="{C3380CC4-5D6E-409C-BE32-E72D297353CC}">
              <c16:uniqueId val="{00000000-08C3-4B6C-B6EE-167204FFCEB5}"/>
            </c:ext>
          </c:extLst>
        </c:ser>
        <c:ser>
          <c:idx val="1"/>
          <c:order val="1"/>
          <c:tx>
            <c:strRef>
              <c:f>Analysis!$C$59:$C$60</c:f>
              <c:strCache>
                <c:ptCount val="1"/>
                <c:pt idx="0">
                  <c:v>2025</c:v>
                </c:pt>
              </c:strCache>
            </c:strRef>
          </c:tx>
          <c:spPr>
            <a:ln w="28575" cap="rnd">
              <a:solidFill>
                <a:srgbClr val="000E64"/>
              </a:solidFill>
              <a:round/>
            </a:ln>
            <a:effectLst/>
          </c:spPr>
          <c:marker>
            <c:symbol val="circle"/>
            <c:size val="5"/>
            <c:spPr>
              <a:solidFill>
                <a:srgbClr val="000066"/>
              </a:solidFill>
              <a:ln w="9525">
                <a:solidFill>
                  <a:srgbClr val="000E64"/>
                </a:solidFill>
              </a:ln>
              <a:effectLst/>
            </c:spPr>
          </c:marker>
          <c:cat>
            <c:strRef>
              <c:f>Analysis!$A$61:$A$73</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Analysis!$C$61:$C$73</c:f>
              <c:numCache>
                <c:formatCode>_("₦"* #,##0_);_("₦"* \(#,##0\);_("₦"* "-"_);_(@_)</c:formatCode>
                <c:ptCount val="12"/>
                <c:pt idx="0">
                  <c:v>45940.51</c:v>
                </c:pt>
                <c:pt idx="1">
                  <c:v>67364.900000000009</c:v>
                </c:pt>
                <c:pt idx="2">
                  <c:v>70377.87000000001</c:v>
                </c:pt>
                <c:pt idx="3">
                  <c:v>102962.52999999996</c:v>
                </c:pt>
                <c:pt idx="4">
                  <c:v>58979.17</c:v>
                </c:pt>
                <c:pt idx="5">
                  <c:v>43608.12</c:v>
                </c:pt>
                <c:pt idx="6">
                  <c:v>65055.49</c:v>
                </c:pt>
                <c:pt idx="7">
                  <c:v>76110.320000000007</c:v>
                </c:pt>
                <c:pt idx="8">
                  <c:v>72675.010000000009</c:v>
                </c:pt>
                <c:pt idx="9">
                  <c:v>74714.819999999992</c:v>
                </c:pt>
                <c:pt idx="10">
                  <c:v>97912.140000000014</c:v>
                </c:pt>
                <c:pt idx="11">
                  <c:v>47947.77</c:v>
                </c:pt>
              </c:numCache>
            </c:numRef>
          </c:val>
          <c:smooth val="0"/>
          <c:extLst>
            <c:ext xmlns:c16="http://schemas.microsoft.com/office/drawing/2014/chart" uri="{C3380CC4-5D6E-409C-BE32-E72D297353CC}">
              <c16:uniqueId val="{0000000C-0901-4EDE-BDB2-7BD9507EAD1D}"/>
            </c:ext>
          </c:extLst>
        </c:ser>
        <c:dLbls>
          <c:showLegendKey val="0"/>
          <c:showVal val="0"/>
          <c:showCatName val="0"/>
          <c:showSerName val="0"/>
          <c:showPercent val="0"/>
          <c:showBubbleSize val="0"/>
        </c:dLbls>
        <c:marker val="1"/>
        <c:smooth val="0"/>
        <c:axId val="1633991231"/>
        <c:axId val="1633993727"/>
      </c:lineChart>
      <c:catAx>
        <c:axId val="163399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33993727"/>
        <c:crosses val="autoZero"/>
        <c:auto val="1"/>
        <c:lblAlgn val="ctr"/>
        <c:lblOffset val="100"/>
        <c:noMultiLvlLbl val="0"/>
      </c:catAx>
      <c:valAx>
        <c:axId val="1633993727"/>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33991231"/>
        <c:crosses val="autoZero"/>
        <c:crossBetween val="between"/>
      </c:valAx>
      <c:spPr>
        <a:noFill/>
        <a:ln>
          <a:noFill/>
        </a:ln>
        <a:effectLst/>
      </c:spPr>
    </c:plotArea>
    <c:legend>
      <c:legendPos val="r"/>
      <c:layout>
        <c:manualLayout>
          <c:xMode val="edge"/>
          <c:yMode val="edge"/>
          <c:x val="0.87506640269413327"/>
          <c:y val="6.1908819088647718E-2"/>
          <c:w val="0.11996012607553763"/>
          <c:h val="0.163179065714305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Project.xlsx]Analysis!Revenue by Region</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0E64"/>
                </a:solidFill>
              </a:rPr>
              <a:t>Revenue</a:t>
            </a:r>
            <a:r>
              <a:rPr lang="en-US" sz="1600" b="1" baseline="0">
                <a:solidFill>
                  <a:srgbClr val="000E64"/>
                </a:solidFill>
              </a:rPr>
              <a:t> by Region</a:t>
            </a:r>
            <a:endParaRPr lang="en-US" sz="1600" b="1">
              <a:solidFill>
                <a:srgbClr val="000E64"/>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000E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0E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0E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0E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0E64"/>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03960719005275"/>
          <c:y val="0.17636709462672373"/>
          <c:w val="0.69992770873573018"/>
          <c:h val="0.7713266761768901"/>
        </c:manualLayout>
      </c:layout>
      <c:barChart>
        <c:barDir val="bar"/>
        <c:grouping val="clustered"/>
        <c:varyColors val="0"/>
        <c:ser>
          <c:idx val="0"/>
          <c:order val="0"/>
          <c:tx>
            <c:strRef>
              <c:f>Analysis!$B$3</c:f>
              <c:strCache>
                <c:ptCount val="1"/>
                <c:pt idx="0">
                  <c:v>Total</c:v>
                </c:pt>
              </c:strCache>
            </c:strRef>
          </c:tx>
          <c:spPr>
            <a:solidFill>
              <a:srgbClr val="000E64"/>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Analysis!$A$4:$A$9</c:f>
              <c:strCache>
                <c:ptCount val="5"/>
                <c:pt idx="0">
                  <c:v>North West</c:v>
                </c:pt>
                <c:pt idx="1">
                  <c:v>South South</c:v>
                </c:pt>
                <c:pt idx="2">
                  <c:v>South East</c:v>
                </c:pt>
                <c:pt idx="3">
                  <c:v>North Central</c:v>
                </c:pt>
                <c:pt idx="4">
                  <c:v>South West</c:v>
                </c:pt>
              </c:strCache>
            </c:strRef>
          </c:cat>
          <c:val>
            <c:numRef>
              <c:f>Analysis!$B$4:$B$9</c:f>
              <c:numCache>
                <c:formatCode>_("₦"* #,##0_);_("₦"* \(#,##0\);_("₦"* "-"_);_(@_)</c:formatCode>
                <c:ptCount val="5"/>
                <c:pt idx="0">
                  <c:v>193006.29000000004</c:v>
                </c:pt>
                <c:pt idx="1">
                  <c:v>232982.09999999998</c:v>
                </c:pt>
                <c:pt idx="2">
                  <c:v>253258.06000000011</c:v>
                </c:pt>
                <c:pt idx="3">
                  <c:v>283062.85000000003</c:v>
                </c:pt>
                <c:pt idx="4">
                  <c:v>556562.46</c:v>
                </c:pt>
              </c:numCache>
            </c:numRef>
          </c:val>
          <c:extLst>
            <c:ext xmlns:c16="http://schemas.microsoft.com/office/drawing/2014/chart" uri="{C3380CC4-5D6E-409C-BE32-E72D297353CC}">
              <c16:uniqueId val="{00000000-DC93-4F0C-95AB-AE95E16C6B78}"/>
            </c:ext>
          </c:extLst>
        </c:ser>
        <c:dLbls>
          <c:dLblPos val="outEnd"/>
          <c:showLegendKey val="0"/>
          <c:showVal val="1"/>
          <c:showCatName val="0"/>
          <c:showSerName val="0"/>
          <c:showPercent val="0"/>
          <c:showBubbleSize val="0"/>
        </c:dLbls>
        <c:gapWidth val="182"/>
        <c:axId val="1072396927"/>
        <c:axId val="1072394015"/>
      </c:barChart>
      <c:catAx>
        <c:axId val="1072396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72394015"/>
        <c:crosses val="autoZero"/>
        <c:auto val="1"/>
        <c:lblAlgn val="ctr"/>
        <c:lblOffset val="100"/>
        <c:noMultiLvlLbl val="0"/>
      </c:catAx>
      <c:valAx>
        <c:axId val="1072394015"/>
        <c:scaling>
          <c:orientation val="minMax"/>
        </c:scaling>
        <c:delete val="1"/>
        <c:axPos val="b"/>
        <c:numFmt formatCode="_(&quot;₦&quot;* #,##0_);_(&quot;₦&quot;* \(#,##0\);_(&quot;₦&quot;* &quot;-&quot;_);_(@_)" sourceLinked="1"/>
        <c:majorTickMark val="none"/>
        <c:minorTickMark val="none"/>
        <c:tickLblPos val="nextTo"/>
        <c:crossAx val="1072396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Project.xlsx]Analysis!Revenue by Product Category</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rgbClr val="002060"/>
                </a:solidFill>
                <a:latin typeface="+mn-lt"/>
                <a:ea typeface="+mn-ea"/>
                <a:cs typeface="+mn-cs"/>
              </a:defRPr>
            </a:pPr>
            <a:r>
              <a:rPr lang="en-GB" sz="1600" b="1" i="0" baseline="0">
                <a:solidFill>
                  <a:srgbClr val="002060"/>
                </a:solidFill>
                <a:effectLst/>
              </a:rPr>
              <a:t>Revenue by Category</a:t>
            </a:r>
            <a:endParaRPr lang="en-NG" sz="1600" b="1">
              <a:solidFill>
                <a:srgbClr val="002060"/>
              </a:solidFill>
              <a:effectLst/>
            </a:endParaRPr>
          </a:p>
        </c:rich>
      </c:tx>
      <c:layout>
        <c:manualLayout>
          <c:xMode val="edge"/>
          <c:yMode val="edge"/>
          <c:x val="0.23534291145311348"/>
          <c:y val="2.800323300374118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rgbClr val="002060"/>
              </a:solidFill>
              <a:latin typeface="+mn-lt"/>
              <a:ea typeface="+mn-ea"/>
              <a:cs typeface="+mn-cs"/>
            </a:defRPr>
          </a:pPr>
          <a:endParaRPr lang="en-NG"/>
        </a:p>
      </c:txPr>
    </c:title>
    <c:autoTitleDeleted val="0"/>
    <c:pivotFmts>
      <c:pivotFmt>
        <c:idx val="0"/>
        <c:spPr>
          <a:solidFill>
            <a:srgbClr val="000099"/>
          </a:solidFill>
          <a:ln>
            <a:solidFill>
              <a:srgbClr val="33339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0099"/>
          </a:solidFill>
          <a:ln>
            <a:solidFill>
              <a:srgbClr val="33339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0066"/>
          </a:solidFill>
          <a:ln>
            <a:solidFill>
              <a:srgbClr val="33339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0066"/>
          </a:solidFill>
          <a:ln>
            <a:solidFill>
              <a:srgbClr val="33339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0066"/>
          </a:solidFill>
          <a:ln>
            <a:solidFill>
              <a:srgbClr val="33339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0066"/>
          </a:solidFill>
          <a:ln>
            <a:solidFill>
              <a:srgbClr val="33339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0066"/>
          </a:solidFill>
          <a:ln>
            <a:solidFill>
              <a:srgbClr val="333399"/>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955684333467423"/>
          <c:y val="0.2318001710006449"/>
          <c:w val="0.61519598793322472"/>
          <c:h val="0.61576243694272115"/>
        </c:manualLayout>
      </c:layout>
      <c:barChart>
        <c:barDir val="bar"/>
        <c:grouping val="clustered"/>
        <c:varyColors val="0"/>
        <c:ser>
          <c:idx val="0"/>
          <c:order val="0"/>
          <c:tx>
            <c:strRef>
              <c:f>Analysis!$B$14</c:f>
              <c:strCache>
                <c:ptCount val="1"/>
                <c:pt idx="0">
                  <c:v>Total</c:v>
                </c:pt>
              </c:strCache>
            </c:strRef>
          </c:tx>
          <c:spPr>
            <a:solidFill>
              <a:srgbClr val="000066"/>
            </a:solidFill>
            <a:ln>
              <a:solidFill>
                <a:srgbClr val="333399"/>
              </a:solid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Analysis!$A$15:$A$21</c:f>
              <c:strCache>
                <c:ptCount val="6"/>
                <c:pt idx="0">
                  <c:v>Gaming</c:v>
                </c:pt>
                <c:pt idx="1">
                  <c:v>Accessories</c:v>
                </c:pt>
                <c:pt idx="2">
                  <c:v>Electronics</c:v>
                </c:pt>
                <c:pt idx="3">
                  <c:v>Lifestyle</c:v>
                </c:pt>
                <c:pt idx="4">
                  <c:v>Office</c:v>
                </c:pt>
                <c:pt idx="5">
                  <c:v>Home Appliances</c:v>
                </c:pt>
              </c:strCache>
            </c:strRef>
          </c:cat>
          <c:val>
            <c:numRef>
              <c:f>Analysis!$B$15:$B$21</c:f>
              <c:numCache>
                <c:formatCode>_("₦"* #,##0_);_("₦"* \(#,##0\);_("₦"* "-"_);_(@_)</c:formatCode>
                <c:ptCount val="6"/>
                <c:pt idx="0">
                  <c:v>185257.89</c:v>
                </c:pt>
                <c:pt idx="1">
                  <c:v>199777.15000000008</c:v>
                </c:pt>
                <c:pt idx="2">
                  <c:v>268173.44999999995</c:v>
                </c:pt>
                <c:pt idx="3">
                  <c:v>268851.01000000018</c:v>
                </c:pt>
                <c:pt idx="4">
                  <c:v>289383.35999999993</c:v>
                </c:pt>
                <c:pt idx="5">
                  <c:v>307428.89999999997</c:v>
                </c:pt>
              </c:numCache>
            </c:numRef>
          </c:val>
          <c:extLst>
            <c:ext xmlns:c16="http://schemas.microsoft.com/office/drawing/2014/chart" uri="{C3380CC4-5D6E-409C-BE32-E72D297353CC}">
              <c16:uniqueId val="{00000000-FA26-4D4B-82FF-F6235C07FBC4}"/>
            </c:ext>
          </c:extLst>
        </c:ser>
        <c:dLbls>
          <c:dLblPos val="outEnd"/>
          <c:showLegendKey val="0"/>
          <c:showVal val="1"/>
          <c:showCatName val="0"/>
          <c:showSerName val="0"/>
          <c:showPercent val="0"/>
          <c:showBubbleSize val="0"/>
        </c:dLbls>
        <c:gapWidth val="182"/>
        <c:axId val="871597807"/>
        <c:axId val="874058143"/>
      </c:barChart>
      <c:catAx>
        <c:axId val="871597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74058143"/>
        <c:crosses val="autoZero"/>
        <c:auto val="1"/>
        <c:lblAlgn val="ctr"/>
        <c:lblOffset val="100"/>
        <c:noMultiLvlLbl val="0"/>
      </c:catAx>
      <c:valAx>
        <c:axId val="874058143"/>
        <c:scaling>
          <c:orientation val="minMax"/>
        </c:scaling>
        <c:delete val="1"/>
        <c:axPos val="b"/>
        <c:numFmt formatCode="_(&quot;₦&quot;* #,##0_);_(&quot;₦&quot;* \(#,##0\);_(&quot;₦&quot;* &quot;-&quot;_);_(@_)" sourceLinked="1"/>
        <c:majorTickMark val="none"/>
        <c:minorTickMark val="none"/>
        <c:tickLblPos val="nextTo"/>
        <c:crossAx val="871597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Project.xlsx]Analysis!Top 5 Products</c:name>
    <c:fmtId val="2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rgbClr val="002060"/>
                </a:solidFill>
                <a:latin typeface="+mn-lt"/>
                <a:ea typeface="+mn-ea"/>
                <a:cs typeface="+mn-cs"/>
              </a:defRPr>
            </a:pPr>
            <a:r>
              <a:rPr lang="en-US" sz="1600" b="1" i="0" baseline="0">
                <a:solidFill>
                  <a:srgbClr val="002060"/>
                </a:solidFill>
                <a:effectLst/>
              </a:rPr>
              <a:t>Top 5 Products by Revenue</a:t>
            </a:r>
            <a:endParaRPr lang="en-NG" sz="1600">
              <a:solidFill>
                <a:srgbClr val="002060"/>
              </a:solidFill>
              <a:effectLst/>
            </a:endParaRPr>
          </a:p>
        </c:rich>
      </c:tx>
      <c:layout>
        <c:manualLayout>
          <c:xMode val="edge"/>
          <c:yMode val="edge"/>
          <c:x val="0.23003903508363047"/>
          <c:y val="2.307582421670764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rgbClr val="002060"/>
              </a:solidFill>
              <a:latin typeface="+mn-lt"/>
              <a:ea typeface="+mn-ea"/>
              <a:cs typeface="+mn-cs"/>
            </a:defRPr>
          </a:pPr>
          <a:endParaRPr lang="en-NG"/>
        </a:p>
      </c:txPr>
    </c:title>
    <c:autoTitleDeleted val="0"/>
    <c:pivotFmts>
      <c:pivotFmt>
        <c:idx val="0"/>
        <c:spPr>
          <a:solidFill>
            <a:srgbClr val="0000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00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0066"/>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Analysis!$B$40</c:f>
              <c:strCache>
                <c:ptCount val="1"/>
                <c:pt idx="0">
                  <c:v>Total</c:v>
                </c:pt>
              </c:strCache>
            </c:strRef>
          </c:tx>
          <c:spPr>
            <a:solidFill>
              <a:srgbClr val="000066"/>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Analysis!$A$41:$A$46</c:f>
              <c:strCache>
                <c:ptCount val="5"/>
                <c:pt idx="0">
                  <c:v>Electric Kettle</c:v>
                </c:pt>
                <c:pt idx="1">
                  <c:v>Smartphone</c:v>
                </c:pt>
                <c:pt idx="2">
                  <c:v>Gaming Headset</c:v>
                </c:pt>
                <c:pt idx="3">
                  <c:v>Printer</c:v>
                </c:pt>
                <c:pt idx="4">
                  <c:v>Webcam</c:v>
                </c:pt>
              </c:strCache>
            </c:strRef>
          </c:cat>
          <c:val>
            <c:numRef>
              <c:f>Analysis!$B$41:$B$46</c:f>
              <c:numCache>
                <c:formatCode>_("₦"* #,##0_);_("₦"* \(#,##0\);_("₦"* "-"_);_(@_)</c:formatCode>
                <c:ptCount val="5"/>
                <c:pt idx="0">
                  <c:v>113951.00000000001</c:v>
                </c:pt>
                <c:pt idx="1">
                  <c:v>98901.379999999976</c:v>
                </c:pt>
                <c:pt idx="2">
                  <c:v>88156.160000000033</c:v>
                </c:pt>
                <c:pt idx="3">
                  <c:v>86650.299999999988</c:v>
                </c:pt>
                <c:pt idx="4">
                  <c:v>85846.1</c:v>
                </c:pt>
              </c:numCache>
            </c:numRef>
          </c:val>
          <c:extLst>
            <c:ext xmlns:c16="http://schemas.microsoft.com/office/drawing/2014/chart" uri="{C3380CC4-5D6E-409C-BE32-E72D297353CC}">
              <c16:uniqueId val="{00000000-2EDD-49D7-883D-672C44CB41D6}"/>
            </c:ext>
          </c:extLst>
        </c:ser>
        <c:dLbls>
          <c:dLblPos val="outEnd"/>
          <c:showLegendKey val="0"/>
          <c:showVal val="1"/>
          <c:showCatName val="0"/>
          <c:showSerName val="0"/>
          <c:showPercent val="0"/>
          <c:showBubbleSize val="0"/>
        </c:dLbls>
        <c:gapWidth val="219"/>
        <c:overlap val="-27"/>
        <c:axId val="874623759"/>
        <c:axId val="874624175"/>
      </c:barChart>
      <c:catAx>
        <c:axId val="8746237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74624175"/>
        <c:crosses val="autoZero"/>
        <c:auto val="1"/>
        <c:lblAlgn val="ctr"/>
        <c:lblOffset val="100"/>
        <c:noMultiLvlLbl val="0"/>
      </c:catAx>
      <c:valAx>
        <c:axId val="874624175"/>
        <c:scaling>
          <c:orientation val="minMax"/>
        </c:scaling>
        <c:delete val="1"/>
        <c:axPos val="l"/>
        <c:numFmt formatCode="_(&quot;₦&quot;* #,##0_);_(&quot;₦&quot;* \(#,##0\);_(&quot;₦&quot;* &quot;-&quot;_);_(@_)" sourceLinked="1"/>
        <c:majorTickMark val="out"/>
        <c:minorTickMark val="none"/>
        <c:tickLblPos val="nextTo"/>
        <c:crossAx val="874623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Project.xlsx]Analysis!Revenue by sales Channel</c:name>
    <c:fmtId val="21"/>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a:solidFill>
                  <a:srgbClr val="000066"/>
                </a:solidFill>
              </a:rPr>
              <a:t>Revenue by Sales Channel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NG"/>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3"/>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4"/>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bg1">
              <a:lumMod val="65000"/>
            </a:schemeClr>
          </a:solidFill>
          <a:ln>
            <a:noFill/>
          </a:ln>
          <a:effectLst>
            <a:outerShdw blurRad="254000" sx="102000" sy="102000" algn="ctr" rotWithShape="0">
              <a:prstClr val="black">
                <a:alpha val="20000"/>
              </a:prstClr>
            </a:outerShdw>
          </a:effectLst>
        </c:spPr>
      </c:pivotFmt>
      <c:pivotFmt>
        <c:idx val="12"/>
        <c:spPr>
          <a:solidFill>
            <a:schemeClr val="tx2">
              <a:lumMod val="60000"/>
              <a:lumOff val="40000"/>
            </a:schemeClr>
          </a:solidFill>
          <a:ln>
            <a:noFill/>
          </a:ln>
          <a:effectLst>
            <a:outerShdw blurRad="254000" sx="102000" sy="102000" algn="ctr" rotWithShape="0">
              <a:prstClr val="black">
                <a:alpha val="20000"/>
              </a:prstClr>
            </a:outerShdw>
          </a:effectLst>
        </c:spPr>
      </c:pivotFmt>
      <c:pivotFmt>
        <c:idx val="13"/>
        <c:spPr>
          <a:solidFill>
            <a:srgbClr val="000066"/>
          </a:solidFill>
          <a:ln>
            <a:noFill/>
          </a:ln>
          <a:effectLst>
            <a:outerShdw blurRad="254000" sx="102000" sy="102000" algn="ctr" rotWithShape="0">
              <a:prstClr val="black">
                <a:alpha val="20000"/>
              </a:prstClr>
            </a:outerShdw>
          </a:effectLst>
        </c:spPr>
      </c:pivotFmt>
      <c:pivotFmt>
        <c:idx val="14"/>
        <c:spPr>
          <a:solidFill>
            <a:schemeClr val="tx2">
              <a:lumMod val="20000"/>
              <a:lumOff val="80000"/>
            </a:schemeClr>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bg1">
              <a:lumMod val="65000"/>
            </a:schemeClr>
          </a:solidFill>
          <a:ln>
            <a:noFill/>
          </a:ln>
          <a:effectLst>
            <a:outerShdw blurRad="254000" sx="102000" sy="102000" algn="ctr" rotWithShape="0">
              <a:prstClr val="black">
                <a:alpha val="20000"/>
              </a:prstClr>
            </a:outerShdw>
          </a:effectLst>
        </c:spPr>
      </c:pivotFmt>
      <c:pivotFmt>
        <c:idx val="17"/>
        <c:spPr>
          <a:solidFill>
            <a:schemeClr val="tx2">
              <a:lumMod val="60000"/>
              <a:lumOff val="40000"/>
            </a:schemeClr>
          </a:solidFill>
          <a:ln>
            <a:noFill/>
          </a:ln>
          <a:effectLst>
            <a:outerShdw blurRad="254000" sx="102000" sy="102000" algn="ctr" rotWithShape="0">
              <a:prstClr val="black">
                <a:alpha val="20000"/>
              </a:prstClr>
            </a:outerShdw>
          </a:effectLst>
        </c:spPr>
      </c:pivotFmt>
      <c:pivotFmt>
        <c:idx val="18"/>
        <c:spPr>
          <a:solidFill>
            <a:srgbClr val="000066"/>
          </a:solidFill>
          <a:ln>
            <a:noFill/>
          </a:ln>
          <a:effectLst>
            <a:outerShdw blurRad="254000" sx="102000" sy="102000" algn="ctr" rotWithShape="0">
              <a:prstClr val="black">
                <a:alpha val="20000"/>
              </a:prstClr>
            </a:outerShdw>
          </a:effectLst>
        </c:spPr>
      </c:pivotFmt>
      <c:pivotFmt>
        <c:idx val="19"/>
        <c:spPr>
          <a:solidFill>
            <a:schemeClr val="tx2">
              <a:lumMod val="20000"/>
              <a:lumOff val="80000"/>
            </a:schemeClr>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50800" dist="38100" dir="2700000" algn="tl" rotWithShape="0">
              <a:prstClr val="black">
                <a:alpha val="4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bg1">
              <a:lumMod val="65000"/>
            </a:schemeClr>
          </a:solidFill>
          <a:ln>
            <a:noFill/>
          </a:ln>
          <a:effectLst>
            <a:outerShdw blurRad="50800" dist="38100" dir="2700000" algn="tl" rotWithShape="0">
              <a:prstClr val="black">
                <a:alpha val="40000"/>
              </a:prstClr>
            </a:outerShdw>
          </a:effectLst>
        </c:spPr>
      </c:pivotFmt>
      <c:pivotFmt>
        <c:idx val="22"/>
        <c:spPr>
          <a:solidFill>
            <a:schemeClr val="tx2">
              <a:lumMod val="60000"/>
              <a:lumOff val="40000"/>
            </a:schemeClr>
          </a:solidFill>
          <a:ln>
            <a:noFill/>
          </a:ln>
          <a:effectLst>
            <a:outerShdw blurRad="50800" dist="38100" dir="2700000" algn="tl" rotWithShape="0">
              <a:prstClr val="black">
                <a:alpha val="40000"/>
              </a:prstClr>
            </a:outerShdw>
          </a:effectLst>
        </c:spPr>
      </c:pivotFmt>
      <c:pivotFmt>
        <c:idx val="23"/>
        <c:spPr>
          <a:solidFill>
            <a:srgbClr val="000066"/>
          </a:solidFill>
          <a:ln>
            <a:noFill/>
          </a:ln>
          <a:effectLst>
            <a:outerShdw blurRad="50800" dist="38100" dir="2700000" algn="tl" rotWithShape="0">
              <a:prstClr val="black">
                <a:alpha val="40000"/>
              </a:prstClr>
            </a:outerShdw>
          </a:effectLst>
          <a:sp3d/>
        </c:spPr>
      </c:pivotFmt>
      <c:pivotFmt>
        <c:idx val="24"/>
        <c:spPr>
          <a:solidFill>
            <a:schemeClr val="tx2">
              <a:lumMod val="20000"/>
              <a:lumOff val="80000"/>
            </a:schemeClr>
          </a:solidFill>
          <a:ln>
            <a:noFill/>
          </a:ln>
          <a:effectLst>
            <a:outerShdw blurRad="50800" dist="38100" dir="2700000" algn="tl" rotWithShape="0">
              <a:prstClr val="black">
                <a:alpha val="40000"/>
              </a:prstClr>
            </a:outerShdw>
          </a:effectLst>
        </c:spPr>
      </c:pivotFmt>
      <c:pivotFmt>
        <c:idx val="25"/>
        <c:spPr>
          <a:solidFill>
            <a:schemeClr val="tx2">
              <a:lumMod val="60000"/>
              <a:lumOff val="40000"/>
            </a:schemeClr>
          </a:solidFill>
          <a:ln>
            <a:noFill/>
          </a:ln>
          <a:effectLst>
            <a:outerShdw blurRad="50800" dist="38100" dir="2700000" algn="tl" rotWithShape="0">
              <a:prstClr val="black">
                <a:alpha val="40000"/>
              </a:prstClr>
            </a:outerShdw>
          </a:effectLst>
        </c:spPr>
      </c:pivotFmt>
      <c:pivotFmt>
        <c:idx val="26"/>
        <c:spPr>
          <a:solidFill>
            <a:schemeClr val="bg1">
              <a:lumMod val="65000"/>
            </a:schemeClr>
          </a:solidFill>
          <a:ln>
            <a:noFill/>
          </a:ln>
          <a:effectLst>
            <a:outerShdw blurRad="50800" dist="38100" dir="2700000" algn="tl" rotWithShape="0">
              <a:prstClr val="black">
                <a:alpha val="40000"/>
              </a:prstClr>
            </a:outerShdw>
          </a:effectLst>
        </c:spPr>
      </c:pivotFmt>
      <c:pivotFmt>
        <c:idx val="27"/>
        <c:spPr>
          <a:solidFill>
            <a:schemeClr val="tx2">
              <a:lumMod val="20000"/>
              <a:lumOff val="80000"/>
            </a:schemeClr>
          </a:solidFill>
          <a:ln>
            <a:noFill/>
          </a:ln>
          <a:effectLst>
            <a:outerShdw blurRad="50800" dist="38100" dir="2700000" algn="tl" rotWithShape="0">
              <a:prstClr val="black">
                <a:alpha val="40000"/>
              </a:prstClr>
            </a:outerShdw>
          </a:effectLst>
        </c:spPr>
      </c:pivotFmt>
      <c:pivotFmt>
        <c:idx val="28"/>
        <c:spPr>
          <a:solidFill>
            <a:schemeClr val="bg1">
              <a:lumMod val="65000"/>
            </a:schemeClr>
          </a:solidFill>
          <a:ln>
            <a:noFill/>
          </a:ln>
          <a:effectLst>
            <a:outerShdw blurRad="50800" dist="38100" dir="2700000" algn="tl" rotWithShape="0">
              <a:prstClr val="black">
                <a:alpha val="40000"/>
              </a:prstClr>
            </a:outerShdw>
          </a:effectLst>
        </c:spPr>
      </c:pivotFmt>
      <c:pivotFmt>
        <c:idx val="29"/>
        <c:spPr>
          <a:solidFill>
            <a:schemeClr val="bg1">
              <a:lumMod val="65000"/>
            </a:schemeClr>
          </a:solidFill>
          <a:ln>
            <a:noFill/>
          </a:ln>
          <a:effectLst>
            <a:outerShdw blurRad="50800" dist="38100" dir="2700000" algn="tl" rotWithShape="0">
              <a:prstClr val="black">
                <a:alpha val="40000"/>
              </a:prstClr>
            </a:outerShdw>
          </a:effectLst>
          <a:sp3d/>
        </c:spPr>
      </c:pivotFmt>
      <c:pivotFmt>
        <c:idx val="30"/>
        <c:spPr>
          <a:solidFill>
            <a:schemeClr val="tx2">
              <a:lumMod val="20000"/>
              <a:lumOff val="80000"/>
            </a:schemeClr>
          </a:solidFill>
          <a:ln>
            <a:noFill/>
          </a:ln>
          <a:effectLst>
            <a:outerShdw blurRad="50800" dist="38100" dir="2700000" algn="tl" rotWithShape="0">
              <a:prstClr val="black">
                <a:alpha val="40000"/>
              </a:prstClr>
            </a:outerShdw>
          </a:effectLst>
          <a:sp3d/>
        </c:spPr>
      </c:pivotFmt>
      <c:pivotFmt>
        <c:idx val="31"/>
        <c:spPr>
          <a:solidFill>
            <a:schemeClr val="tx2">
              <a:lumMod val="60000"/>
              <a:lumOff val="40000"/>
            </a:schemeClr>
          </a:solidFill>
          <a:ln>
            <a:noFill/>
          </a:ln>
          <a:effectLst>
            <a:outerShdw blurRad="50800" dist="38100" dir="2700000" algn="tl" rotWithShape="0">
              <a:prstClr val="black">
                <a:alpha val="40000"/>
              </a:prstClr>
            </a:outerShdw>
          </a:effectLst>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379179875242867"/>
          <c:y val="0.25830902523625732"/>
          <c:w val="0.42694345025053687"/>
          <c:h val="0.54409188352095639"/>
        </c:manualLayout>
      </c:layout>
      <c:pie3DChart>
        <c:varyColors val="1"/>
        <c:ser>
          <c:idx val="0"/>
          <c:order val="0"/>
          <c:tx>
            <c:strRef>
              <c:f>Analysis!$B$82</c:f>
              <c:strCache>
                <c:ptCount val="1"/>
                <c:pt idx="0">
                  <c:v>Total</c:v>
                </c:pt>
              </c:strCache>
            </c:strRef>
          </c:tx>
          <c:spPr>
            <a:effectLst>
              <a:outerShdw blurRad="50800" dist="38100" dir="2700000" algn="tl" rotWithShape="0">
                <a:prstClr val="black">
                  <a:alpha val="40000"/>
                </a:prstClr>
              </a:outerShdw>
            </a:effectLst>
          </c:spPr>
          <c:dPt>
            <c:idx val="0"/>
            <c:bubble3D val="0"/>
            <c:spPr>
              <a:solidFill>
                <a:schemeClr val="tx2">
                  <a:lumMod val="60000"/>
                  <a:lumOff val="40000"/>
                </a:schemeClr>
              </a:soli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1-F5E2-428D-8DD2-D39DF0BFE8AF}"/>
              </c:ext>
            </c:extLst>
          </c:dPt>
          <c:dPt>
            <c:idx val="1"/>
            <c:bubble3D val="0"/>
            <c:spPr>
              <a:solidFill>
                <a:schemeClr val="bg1">
                  <a:lumMod val="65000"/>
                </a:schemeClr>
              </a:soli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3-F5E2-428D-8DD2-D39DF0BFE8AF}"/>
              </c:ext>
            </c:extLst>
          </c:dPt>
          <c:dPt>
            <c:idx val="2"/>
            <c:bubble3D val="0"/>
            <c:spPr>
              <a:solidFill>
                <a:srgbClr val="000066"/>
              </a:soli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5-F5E2-428D-8DD2-D39DF0BFE8AF}"/>
              </c:ext>
            </c:extLst>
          </c:dPt>
          <c:dPt>
            <c:idx val="3"/>
            <c:bubble3D val="0"/>
            <c:spPr>
              <a:solidFill>
                <a:schemeClr val="tx2">
                  <a:lumMod val="20000"/>
                  <a:lumOff val="80000"/>
                </a:schemeClr>
              </a:soli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7-F5E2-428D-8DD2-D39DF0BFE8A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Analysis!$A$83:$A$87</c:f>
              <c:strCache>
                <c:ptCount val="4"/>
                <c:pt idx="0">
                  <c:v>Corporate Sales</c:v>
                </c:pt>
                <c:pt idx="1">
                  <c:v>Marketplace</c:v>
                </c:pt>
                <c:pt idx="2">
                  <c:v>Online</c:v>
                </c:pt>
                <c:pt idx="3">
                  <c:v>Retail Store</c:v>
                </c:pt>
              </c:strCache>
            </c:strRef>
          </c:cat>
          <c:val>
            <c:numRef>
              <c:f>Analysis!$B$83:$B$87</c:f>
              <c:numCache>
                <c:formatCode>_("₦"* #,##0_);_("₦"* \(#,##0\);_("₦"* "-"_);_(@_)</c:formatCode>
                <c:ptCount val="4"/>
                <c:pt idx="0">
                  <c:v>343785.61000000016</c:v>
                </c:pt>
                <c:pt idx="1">
                  <c:v>356567.81000000011</c:v>
                </c:pt>
                <c:pt idx="2">
                  <c:v>448655.11000000004</c:v>
                </c:pt>
                <c:pt idx="3">
                  <c:v>369863.22999999992</c:v>
                </c:pt>
              </c:numCache>
            </c:numRef>
          </c:val>
          <c:extLst>
            <c:ext xmlns:c16="http://schemas.microsoft.com/office/drawing/2014/chart" uri="{C3380CC4-5D6E-409C-BE32-E72D297353CC}">
              <c16:uniqueId val="{00000008-F5E2-428D-8DD2-D39DF0BFE8AF}"/>
            </c:ext>
          </c:extLst>
        </c:ser>
        <c:dLbls>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1462180863755664"/>
          <c:y val="0.23600319368195632"/>
          <c:w val="0.28537835856976651"/>
          <c:h val="0.4738656521047672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openxmlformats.org/officeDocument/2006/relationships/chart" Target="../charts/chart3.xml"/><Relationship Id="rId26" Type="http://schemas.openxmlformats.org/officeDocument/2006/relationships/image" Target="../media/image21.svg"/><Relationship Id="rId3" Type="http://schemas.openxmlformats.org/officeDocument/2006/relationships/image" Target="../media/image3.png"/><Relationship Id="rId21" Type="http://schemas.openxmlformats.org/officeDocument/2006/relationships/image" Target="../media/image16.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5.svg"/><Relationship Id="rId25" Type="http://schemas.openxmlformats.org/officeDocument/2006/relationships/image" Target="../media/image20.png"/><Relationship Id="rId2" Type="http://schemas.openxmlformats.org/officeDocument/2006/relationships/image" Target="../media/image2.svg"/><Relationship Id="rId16" Type="http://schemas.openxmlformats.org/officeDocument/2006/relationships/chart" Target="../charts/chart2.xml"/><Relationship Id="rId20" Type="http://schemas.openxmlformats.org/officeDocument/2006/relationships/chart" Target="../charts/chart5.xml"/><Relationship Id="rId29" Type="http://schemas.openxmlformats.org/officeDocument/2006/relationships/image" Target="../media/image24.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19.svg"/><Relationship Id="rId5" Type="http://schemas.openxmlformats.org/officeDocument/2006/relationships/image" Target="../media/image5.png"/><Relationship Id="rId15" Type="http://schemas.openxmlformats.org/officeDocument/2006/relationships/image" Target="../media/image14.svg"/><Relationship Id="rId23" Type="http://schemas.openxmlformats.org/officeDocument/2006/relationships/image" Target="../media/image18.png"/><Relationship Id="rId28" Type="http://schemas.openxmlformats.org/officeDocument/2006/relationships/image" Target="../media/image23.svg"/><Relationship Id="rId10" Type="http://schemas.openxmlformats.org/officeDocument/2006/relationships/image" Target="../media/image10.svg"/><Relationship Id="rId19"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3.png"/><Relationship Id="rId22" Type="http://schemas.openxmlformats.org/officeDocument/2006/relationships/image" Target="../media/image17.svg"/><Relationship Id="rId27" Type="http://schemas.openxmlformats.org/officeDocument/2006/relationships/image" Target="../media/image22.png"/><Relationship Id="rId30" Type="http://schemas.openxmlformats.org/officeDocument/2006/relationships/image" Target="../media/image25.svg"/></Relationships>
</file>

<file path=xl/drawings/drawing1.xml><?xml version="1.0" encoding="utf-8"?>
<xdr:wsDr xmlns:xdr="http://schemas.openxmlformats.org/drawingml/2006/spreadsheetDrawing" xmlns:a="http://schemas.openxmlformats.org/drawingml/2006/main">
  <xdr:twoCellAnchor>
    <xdr:from>
      <xdr:col>2</xdr:col>
      <xdr:colOff>609599</xdr:colOff>
      <xdr:row>3</xdr:row>
      <xdr:rowOff>60960</xdr:rowOff>
    </xdr:from>
    <xdr:to>
      <xdr:col>6</xdr:col>
      <xdr:colOff>213619</xdr:colOff>
      <xdr:row>8</xdr:row>
      <xdr:rowOff>154560</xdr:rowOff>
    </xdr:to>
    <xdr:grpSp>
      <xdr:nvGrpSpPr>
        <xdr:cNvPr id="2" name="Group 1">
          <a:extLst>
            <a:ext uri="{FF2B5EF4-FFF2-40B4-BE49-F238E27FC236}">
              <a16:creationId xmlns:a16="http://schemas.microsoft.com/office/drawing/2014/main" id="{4566BECC-58B1-421A-86C9-638A2840205A}"/>
            </a:ext>
          </a:extLst>
        </xdr:cNvPr>
        <xdr:cNvGrpSpPr/>
      </xdr:nvGrpSpPr>
      <xdr:grpSpPr>
        <a:xfrm>
          <a:off x="1828799" y="609600"/>
          <a:ext cx="2042420" cy="1008000"/>
          <a:chOff x="1844040" y="1699260"/>
          <a:chExt cx="2560320" cy="1080000"/>
        </a:xfrm>
      </xdr:grpSpPr>
      <xdr:grpSp>
        <xdr:nvGrpSpPr>
          <xdr:cNvPr id="435" name="Group 434">
            <a:extLst>
              <a:ext uri="{FF2B5EF4-FFF2-40B4-BE49-F238E27FC236}">
                <a16:creationId xmlns:a16="http://schemas.microsoft.com/office/drawing/2014/main" id="{06D0D9FD-51D7-4C22-BB68-83E2535D18A6}"/>
              </a:ext>
            </a:extLst>
          </xdr:cNvPr>
          <xdr:cNvGrpSpPr/>
        </xdr:nvGrpSpPr>
        <xdr:grpSpPr>
          <a:xfrm>
            <a:off x="1844040" y="1699260"/>
            <a:ext cx="2560320" cy="1080000"/>
            <a:chOff x="1776152" y="652550"/>
            <a:chExt cx="1967341" cy="1176250"/>
          </a:xfrm>
        </xdr:grpSpPr>
        <xdr:grpSp>
          <xdr:nvGrpSpPr>
            <xdr:cNvPr id="436" name="Group 435">
              <a:extLst>
                <a:ext uri="{FF2B5EF4-FFF2-40B4-BE49-F238E27FC236}">
                  <a16:creationId xmlns:a16="http://schemas.microsoft.com/office/drawing/2014/main" id="{AE9D19E0-A385-4BA4-BAD8-14CB92EC89EE}"/>
                </a:ext>
              </a:extLst>
            </xdr:cNvPr>
            <xdr:cNvGrpSpPr/>
          </xdr:nvGrpSpPr>
          <xdr:grpSpPr>
            <a:xfrm>
              <a:off x="1776152" y="652550"/>
              <a:ext cx="1967341" cy="1176250"/>
              <a:chOff x="8132617" y="852054"/>
              <a:chExt cx="1835571" cy="824345"/>
            </a:xfrm>
          </xdr:grpSpPr>
          <xdr:sp macro="" textlink="">
            <xdr:nvSpPr>
              <xdr:cNvPr id="443" name="Rectangle 442">
                <a:extLst>
                  <a:ext uri="{FF2B5EF4-FFF2-40B4-BE49-F238E27FC236}">
                    <a16:creationId xmlns:a16="http://schemas.microsoft.com/office/drawing/2014/main" id="{68DAD1AD-B66E-4801-9BE4-468C495A8C49}"/>
                  </a:ext>
                </a:extLst>
              </xdr:cNvPr>
              <xdr:cNvSpPr/>
            </xdr:nvSpPr>
            <xdr:spPr>
              <a:xfrm>
                <a:off x="8132617" y="852054"/>
                <a:ext cx="1835571" cy="824345"/>
              </a:xfrm>
              <a:prstGeom prst="rect">
                <a:avLst/>
              </a:prstGeom>
              <a:solidFill>
                <a:schemeClr val="bg1"/>
              </a:solidFill>
              <a:ln>
                <a:noFill/>
              </a:ln>
              <a:effectLst>
                <a:outerShdw blurRad="50800" dist="38100" dir="16200000"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900" b="1">
                  <a:solidFill>
                    <a:srgbClr val="333399"/>
                  </a:solidFill>
                  <a:latin typeface="+mn-lt"/>
                  <a:ea typeface="+mn-ea"/>
                  <a:cs typeface="+mn-cs"/>
                </a:endParaRPr>
              </a:p>
            </xdr:txBody>
          </xdr:sp>
          <xdr:sp macro="" textlink="">
            <xdr:nvSpPr>
              <xdr:cNvPr id="444" name="TextBox 443">
                <a:extLst>
                  <a:ext uri="{FF2B5EF4-FFF2-40B4-BE49-F238E27FC236}">
                    <a16:creationId xmlns:a16="http://schemas.microsoft.com/office/drawing/2014/main" id="{ECA8F326-3687-40CE-A125-53CFBD310587}"/>
                  </a:ext>
                </a:extLst>
              </xdr:cNvPr>
              <xdr:cNvSpPr txBox="1"/>
            </xdr:nvSpPr>
            <xdr:spPr>
              <a:xfrm>
                <a:off x="8406583" y="865910"/>
                <a:ext cx="1362980" cy="26323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a:solidFill>
                      <a:srgbClr val="002060"/>
                    </a:solidFill>
                    <a:latin typeface="+mn-lt"/>
                    <a:ea typeface="+mn-ea"/>
                    <a:cs typeface="+mn-cs"/>
                  </a:rPr>
                  <a:t>Total</a:t>
                </a:r>
                <a:r>
                  <a:rPr lang="en-GB" sz="1400" b="1" baseline="0">
                    <a:solidFill>
                      <a:srgbClr val="002060"/>
                    </a:solidFill>
                    <a:effectLst/>
                    <a:latin typeface="+mn-lt"/>
                    <a:ea typeface="+mn-ea"/>
                    <a:cs typeface="+mn-cs"/>
                  </a:rPr>
                  <a:t> Revenue</a:t>
                </a:r>
                <a:endParaRPr lang="en-NG" sz="1400" b="1">
                  <a:solidFill>
                    <a:srgbClr val="002060"/>
                  </a:solidFill>
                  <a:latin typeface="+mn-lt"/>
                  <a:ea typeface="+mn-ea"/>
                  <a:cs typeface="+mn-cs"/>
                </a:endParaRPr>
              </a:p>
              <a:p>
                <a:endParaRPr lang="en-NG" sz="900"/>
              </a:p>
            </xdr:txBody>
          </xdr:sp>
          <xdr:sp macro="" textlink="Analysis!$A$56">
            <xdr:nvSpPr>
              <xdr:cNvPr id="445" name="TextBox 444">
                <a:extLst>
                  <a:ext uri="{FF2B5EF4-FFF2-40B4-BE49-F238E27FC236}">
                    <a16:creationId xmlns:a16="http://schemas.microsoft.com/office/drawing/2014/main" id="{E22C8B07-15CF-4707-AE0F-57009CDE339B}"/>
                  </a:ext>
                </a:extLst>
              </xdr:cNvPr>
              <xdr:cNvSpPr txBox="1"/>
            </xdr:nvSpPr>
            <xdr:spPr>
              <a:xfrm>
                <a:off x="8222672" y="1079047"/>
                <a:ext cx="1676400" cy="40924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EBBC9EA7-22EB-4839-9987-1C5669FE8D75}" type="TxLink">
                  <a:rPr lang="en-US" sz="2000" b="1" i="0" u="none" strike="noStrike">
                    <a:solidFill>
                      <a:srgbClr val="000066"/>
                    </a:solidFill>
                    <a:latin typeface="Calibri"/>
                    <a:ea typeface="Calibri"/>
                    <a:cs typeface="Calibri"/>
                  </a:rPr>
                  <a:pPr algn="ctr"/>
                  <a:t> ₦1,518,872 </a:t>
                </a:fld>
                <a:endParaRPr lang="en-NG" sz="2000" b="1">
                  <a:solidFill>
                    <a:srgbClr val="000066"/>
                  </a:solidFill>
                </a:endParaRPr>
              </a:p>
            </xdr:txBody>
          </xdr:sp>
        </xdr:grpSp>
        <xdr:sp macro="" textlink="">
          <xdr:nvSpPr>
            <xdr:cNvPr id="437" name="Arrow: Up 436">
              <a:extLst>
                <a:ext uri="{FF2B5EF4-FFF2-40B4-BE49-F238E27FC236}">
                  <a16:creationId xmlns:a16="http://schemas.microsoft.com/office/drawing/2014/main" id="{55024516-FBA7-439F-A3CC-4B9AB536CA57}"/>
                </a:ext>
              </a:extLst>
            </xdr:cNvPr>
            <xdr:cNvSpPr/>
          </xdr:nvSpPr>
          <xdr:spPr>
            <a:xfrm flipH="1">
              <a:off x="2667910" y="1477015"/>
              <a:ext cx="27662" cy="75616"/>
            </a:xfrm>
            <a:prstGeom prst="upArrow">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438" name="TextBox 437">
              <a:extLst>
                <a:ext uri="{FF2B5EF4-FFF2-40B4-BE49-F238E27FC236}">
                  <a16:creationId xmlns:a16="http://schemas.microsoft.com/office/drawing/2014/main" id="{C0ED38FC-0E1A-473D-BE5C-4D1B2DC16682}"/>
                </a:ext>
              </a:extLst>
            </xdr:cNvPr>
            <xdr:cNvSpPr txBox="1"/>
          </xdr:nvSpPr>
          <xdr:spPr>
            <a:xfrm>
              <a:off x="2320637" y="1511531"/>
              <a:ext cx="969818" cy="221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000" b="1" i="1">
                  <a:solidFill>
                    <a:schemeClr val="tx1">
                      <a:lumMod val="65000"/>
                      <a:lumOff val="35000"/>
                    </a:schemeClr>
                  </a:solidFill>
                </a:rPr>
                <a:t>vs. last year</a:t>
              </a:r>
              <a:endParaRPr lang="en-NG" sz="1000" b="1" i="1">
                <a:solidFill>
                  <a:schemeClr val="tx1">
                    <a:lumMod val="65000"/>
                    <a:lumOff val="35000"/>
                  </a:schemeClr>
                </a:solidFill>
              </a:endParaRPr>
            </a:p>
          </xdr:txBody>
        </xdr:sp>
        <xdr:sp macro="" textlink="Analysis!H77">
          <xdr:nvSpPr>
            <xdr:cNvPr id="439" name="TextBox 438">
              <a:extLst>
                <a:ext uri="{FF2B5EF4-FFF2-40B4-BE49-F238E27FC236}">
                  <a16:creationId xmlns:a16="http://schemas.microsoft.com/office/drawing/2014/main" id="{DF78FFBF-0C39-4168-9CF9-7AFD122026E2}"/>
                </a:ext>
              </a:extLst>
            </xdr:cNvPr>
            <xdr:cNvSpPr txBox="1"/>
          </xdr:nvSpPr>
          <xdr:spPr>
            <a:xfrm>
              <a:off x="2673842" y="1359257"/>
              <a:ext cx="414934" cy="2269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494091C4-3086-4412-A989-1BADF172BF23}" type="TxLink">
                <a:rPr lang="en-US" sz="1100" b="1" i="0" u="none" strike="noStrike">
                  <a:solidFill>
                    <a:srgbClr val="00B050"/>
                  </a:solidFill>
                  <a:latin typeface="Calibri"/>
                  <a:ea typeface="Calibri"/>
                  <a:cs typeface="Calibri"/>
                </a:rPr>
                <a:pPr algn="ctr"/>
                <a:t>18%</a:t>
              </a:fld>
              <a:endParaRPr lang="en-US" sz="1100" b="1">
                <a:solidFill>
                  <a:srgbClr val="00B050"/>
                </a:solidFill>
              </a:endParaRPr>
            </a:p>
          </xdr:txBody>
        </xdr:sp>
      </xdr:grpSp>
      <xdr:grpSp>
        <xdr:nvGrpSpPr>
          <xdr:cNvPr id="538" name="Group 537">
            <a:extLst>
              <a:ext uri="{FF2B5EF4-FFF2-40B4-BE49-F238E27FC236}">
                <a16:creationId xmlns:a16="http://schemas.microsoft.com/office/drawing/2014/main" id="{55B8C077-65DE-4B03-9F3B-2D89BBDC0F1E}"/>
              </a:ext>
            </a:extLst>
          </xdr:cNvPr>
          <xdr:cNvGrpSpPr/>
        </xdr:nvGrpSpPr>
        <xdr:grpSpPr>
          <a:xfrm>
            <a:off x="1920240" y="1737360"/>
            <a:ext cx="331200" cy="324000"/>
            <a:chOff x="13068992" y="1079270"/>
            <a:chExt cx="331200" cy="324000"/>
          </a:xfrm>
        </xdr:grpSpPr>
        <xdr:sp macro="" textlink="">
          <xdr:nvSpPr>
            <xdr:cNvPr id="539" name="Oval 538">
              <a:extLst>
                <a:ext uri="{FF2B5EF4-FFF2-40B4-BE49-F238E27FC236}">
                  <a16:creationId xmlns:a16="http://schemas.microsoft.com/office/drawing/2014/main" id="{82F5914E-F774-4556-80FD-84D48BA1B147}"/>
                </a:ext>
              </a:extLst>
            </xdr:cNvPr>
            <xdr:cNvSpPr/>
          </xdr:nvSpPr>
          <xdr:spPr>
            <a:xfrm>
              <a:off x="13068992" y="1079270"/>
              <a:ext cx="331200" cy="324000"/>
            </a:xfrm>
            <a:prstGeom prst="ellipse">
              <a:avLst/>
            </a:prstGeom>
            <a:solidFill>
              <a:srgbClr val="002060"/>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rgbClr val="001642"/>
                </a:solidFill>
              </a:endParaRPr>
            </a:p>
          </xdr:txBody>
        </xdr:sp>
        <xdr:pic>
          <xdr:nvPicPr>
            <xdr:cNvPr id="540" name="Graphic 539" descr="Dollar">
              <a:extLst>
                <a:ext uri="{FF2B5EF4-FFF2-40B4-BE49-F238E27FC236}">
                  <a16:creationId xmlns:a16="http://schemas.microsoft.com/office/drawing/2014/main" id="{2C5BC991-2C40-4B9A-A85D-355104C7B7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3122332" y="1140230"/>
              <a:ext cx="208093" cy="208092"/>
            </a:xfrm>
            <a:prstGeom prst="rect">
              <a:avLst/>
            </a:prstGeom>
            <a:ln>
              <a:noFill/>
            </a:ln>
            <a:effectLst>
              <a:outerShdw blurRad="44450" dist="27940" dir="5400000" algn="ctr">
                <a:srgbClr val="000000">
                  <a:alpha val="32000"/>
                </a:srgbClr>
              </a:outerShdw>
              <a:reflection blurRad="6350" stA="52000" endA="300" endPos="35000" dir="5400000" sy="-100000" algn="bl" rotWithShape="0"/>
            </a:effectLst>
          </xdr:spPr>
        </xdr:pic>
      </xdr:grpSp>
    </xdr:grpSp>
    <xdr:clientData/>
  </xdr:twoCellAnchor>
  <xdr:twoCellAnchor>
    <xdr:from>
      <xdr:col>6</xdr:col>
      <xdr:colOff>251400</xdr:colOff>
      <xdr:row>3</xdr:row>
      <xdr:rowOff>60960</xdr:rowOff>
    </xdr:from>
    <xdr:to>
      <xdr:col>9</xdr:col>
      <xdr:colOff>404139</xdr:colOff>
      <xdr:row>8</xdr:row>
      <xdr:rowOff>154560</xdr:rowOff>
    </xdr:to>
    <xdr:grpSp>
      <xdr:nvGrpSpPr>
        <xdr:cNvPr id="4" name="Group 3">
          <a:extLst>
            <a:ext uri="{FF2B5EF4-FFF2-40B4-BE49-F238E27FC236}">
              <a16:creationId xmlns:a16="http://schemas.microsoft.com/office/drawing/2014/main" id="{8E65DABC-04B8-4411-AE17-E062A598AEB1}"/>
            </a:ext>
          </a:extLst>
        </xdr:cNvPr>
        <xdr:cNvGrpSpPr/>
      </xdr:nvGrpSpPr>
      <xdr:grpSpPr>
        <a:xfrm>
          <a:off x="3909000" y="609600"/>
          <a:ext cx="1981539" cy="1008000"/>
          <a:chOff x="4434840" y="1691640"/>
          <a:chExt cx="2484000" cy="1080000"/>
        </a:xfrm>
      </xdr:grpSpPr>
      <xdr:grpSp>
        <xdr:nvGrpSpPr>
          <xdr:cNvPr id="494" name="Group 493">
            <a:extLst>
              <a:ext uri="{FF2B5EF4-FFF2-40B4-BE49-F238E27FC236}">
                <a16:creationId xmlns:a16="http://schemas.microsoft.com/office/drawing/2014/main" id="{9F6FF6F2-7394-457A-943F-FDB9BF21C850}"/>
              </a:ext>
            </a:extLst>
          </xdr:cNvPr>
          <xdr:cNvGrpSpPr/>
        </xdr:nvGrpSpPr>
        <xdr:grpSpPr>
          <a:xfrm>
            <a:off x="4434840" y="1691640"/>
            <a:ext cx="2484000" cy="1080000"/>
            <a:chOff x="1776152" y="652550"/>
            <a:chExt cx="1967341" cy="1176250"/>
          </a:xfrm>
        </xdr:grpSpPr>
        <xdr:grpSp>
          <xdr:nvGrpSpPr>
            <xdr:cNvPr id="495" name="Group 494">
              <a:extLst>
                <a:ext uri="{FF2B5EF4-FFF2-40B4-BE49-F238E27FC236}">
                  <a16:creationId xmlns:a16="http://schemas.microsoft.com/office/drawing/2014/main" id="{E39F2EE9-D0A6-43BE-B3CF-35F095949BF9}"/>
                </a:ext>
              </a:extLst>
            </xdr:cNvPr>
            <xdr:cNvGrpSpPr/>
          </xdr:nvGrpSpPr>
          <xdr:grpSpPr>
            <a:xfrm>
              <a:off x="1776152" y="652550"/>
              <a:ext cx="1967341" cy="1176250"/>
              <a:chOff x="8132617" y="852054"/>
              <a:chExt cx="1835571" cy="824345"/>
            </a:xfrm>
          </xdr:grpSpPr>
          <xdr:sp macro="" textlink="">
            <xdr:nvSpPr>
              <xdr:cNvPr id="502" name="Rectangle 501">
                <a:extLst>
                  <a:ext uri="{FF2B5EF4-FFF2-40B4-BE49-F238E27FC236}">
                    <a16:creationId xmlns:a16="http://schemas.microsoft.com/office/drawing/2014/main" id="{5DBCF989-AA28-432A-964C-5C1035163100}"/>
                  </a:ext>
                </a:extLst>
              </xdr:cNvPr>
              <xdr:cNvSpPr/>
            </xdr:nvSpPr>
            <xdr:spPr>
              <a:xfrm>
                <a:off x="8132617" y="852054"/>
                <a:ext cx="1835571" cy="824345"/>
              </a:xfrm>
              <a:prstGeom prst="rect">
                <a:avLst/>
              </a:prstGeom>
              <a:solidFill>
                <a:schemeClr val="bg1"/>
              </a:solidFill>
              <a:ln>
                <a:noFill/>
              </a:ln>
              <a:effectLst>
                <a:outerShdw blurRad="50800" dist="38100" dir="16200000"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900" b="1">
                  <a:solidFill>
                    <a:srgbClr val="333399"/>
                  </a:solidFill>
                  <a:latin typeface="+mn-lt"/>
                  <a:ea typeface="+mn-ea"/>
                  <a:cs typeface="+mn-cs"/>
                </a:endParaRPr>
              </a:p>
            </xdr:txBody>
          </xdr:sp>
          <xdr:sp macro="" textlink="">
            <xdr:nvSpPr>
              <xdr:cNvPr id="503" name="TextBox 502">
                <a:extLst>
                  <a:ext uri="{FF2B5EF4-FFF2-40B4-BE49-F238E27FC236}">
                    <a16:creationId xmlns:a16="http://schemas.microsoft.com/office/drawing/2014/main" id="{AABF586B-B6A5-4955-A3A2-D136325917CD}"/>
                  </a:ext>
                </a:extLst>
              </xdr:cNvPr>
              <xdr:cNvSpPr txBox="1"/>
            </xdr:nvSpPr>
            <xdr:spPr>
              <a:xfrm>
                <a:off x="8406583" y="865910"/>
                <a:ext cx="1362980" cy="26323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a:solidFill>
                      <a:srgbClr val="002060"/>
                    </a:solidFill>
                    <a:latin typeface="+mn-lt"/>
                    <a:ea typeface="+mn-ea"/>
                    <a:cs typeface="+mn-cs"/>
                  </a:rPr>
                  <a:t>Avg.</a:t>
                </a:r>
                <a:r>
                  <a:rPr lang="en-GB" sz="1400" b="1" baseline="0">
                    <a:solidFill>
                      <a:srgbClr val="002060"/>
                    </a:solidFill>
                    <a:latin typeface="+mn-lt"/>
                    <a:ea typeface="+mn-ea"/>
                    <a:cs typeface="+mn-cs"/>
                  </a:rPr>
                  <a:t> Order Value</a:t>
                </a:r>
                <a:endParaRPr lang="en-NG" sz="1400" b="1">
                  <a:solidFill>
                    <a:srgbClr val="002060"/>
                  </a:solidFill>
                  <a:latin typeface="+mn-lt"/>
                  <a:ea typeface="+mn-ea"/>
                  <a:cs typeface="+mn-cs"/>
                </a:endParaRPr>
              </a:p>
              <a:p>
                <a:endParaRPr lang="en-NG" sz="900"/>
              </a:p>
            </xdr:txBody>
          </xdr:sp>
          <xdr:sp macro="" textlink="Analysis!$B$56">
            <xdr:nvSpPr>
              <xdr:cNvPr id="504" name="TextBox 503">
                <a:extLst>
                  <a:ext uri="{FF2B5EF4-FFF2-40B4-BE49-F238E27FC236}">
                    <a16:creationId xmlns:a16="http://schemas.microsoft.com/office/drawing/2014/main" id="{328E3B4F-B85D-4F42-8197-097FB502DA0E}"/>
                  </a:ext>
                </a:extLst>
              </xdr:cNvPr>
              <xdr:cNvSpPr txBox="1"/>
            </xdr:nvSpPr>
            <xdr:spPr>
              <a:xfrm>
                <a:off x="8222672" y="1079047"/>
                <a:ext cx="1676400" cy="40924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FE971719-ACDB-458C-AA62-38A015B622D7}" type="TxLink">
                  <a:rPr lang="en-US" sz="2000" b="1" i="0" u="none" strike="noStrike">
                    <a:solidFill>
                      <a:srgbClr val="000066"/>
                    </a:solidFill>
                    <a:latin typeface="Calibri"/>
                    <a:ea typeface="Calibri"/>
                    <a:cs typeface="Calibri"/>
                  </a:rPr>
                  <a:pPr algn="ctr"/>
                  <a:t> ₦3,038 </a:t>
                </a:fld>
                <a:endParaRPr lang="en-NG" sz="2000" b="1">
                  <a:solidFill>
                    <a:srgbClr val="000066"/>
                  </a:solidFill>
                </a:endParaRPr>
              </a:p>
            </xdr:txBody>
          </xdr:sp>
        </xdr:grpSp>
        <xdr:sp macro="" textlink="">
          <xdr:nvSpPr>
            <xdr:cNvPr id="496" name="Arrow: Up 495">
              <a:extLst>
                <a:ext uri="{FF2B5EF4-FFF2-40B4-BE49-F238E27FC236}">
                  <a16:creationId xmlns:a16="http://schemas.microsoft.com/office/drawing/2014/main" id="{54FC62A9-3895-40AE-BA29-4D1F49637F02}"/>
                </a:ext>
              </a:extLst>
            </xdr:cNvPr>
            <xdr:cNvSpPr/>
          </xdr:nvSpPr>
          <xdr:spPr>
            <a:xfrm flipH="1">
              <a:off x="2666370" y="1468123"/>
              <a:ext cx="34215" cy="75616"/>
            </a:xfrm>
            <a:prstGeom prst="upArrow">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497" name="TextBox 496">
              <a:extLst>
                <a:ext uri="{FF2B5EF4-FFF2-40B4-BE49-F238E27FC236}">
                  <a16:creationId xmlns:a16="http://schemas.microsoft.com/office/drawing/2014/main" id="{AAD3CC6C-9846-4B84-85E0-6A7E73F7E9BA}"/>
                </a:ext>
              </a:extLst>
            </xdr:cNvPr>
            <xdr:cNvSpPr txBox="1"/>
          </xdr:nvSpPr>
          <xdr:spPr>
            <a:xfrm>
              <a:off x="2320637" y="1511531"/>
              <a:ext cx="969818" cy="221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000" b="1" i="1">
                  <a:solidFill>
                    <a:schemeClr val="tx1">
                      <a:lumMod val="65000"/>
                      <a:lumOff val="35000"/>
                    </a:schemeClr>
                  </a:solidFill>
                </a:rPr>
                <a:t>vs. last year</a:t>
              </a:r>
              <a:endParaRPr lang="en-NG" sz="1000" b="1" i="1">
                <a:solidFill>
                  <a:schemeClr val="tx1">
                    <a:lumMod val="65000"/>
                    <a:lumOff val="35000"/>
                  </a:schemeClr>
                </a:solidFill>
              </a:endParaRPr>
            </a:p>
          </xdr:txBody>
        </xdr:sp>
        <xdr:sp macro="" textlink="Analysis!$H$79">
          <xdr:nvSpPr>
            <xdr:cNvPr id="498" name="TextBox 497">
              <a:extLst>
                <a:ext uri="{FF2B5EF4-FFF2-40B4-BE49-F238E27FC236}">
                  <a16:creationId xmlns:a16="http://schemas.microsoft.com/office/drawing/2014/main" id="{CAA53DB0-0EFD-4700-B619-17057EE1A3B7}"/>
                </a:ext>
              </a:extLst>
            </xdr:cNvPr>
            <xdr:cNvSpPr txBox="1"/>
          </xdr:nvSpPr>
          <xdr:spPr>
            <a:xfrm>
              <a:off x="2633938" y="1394824"/>
              <a:ext cx="427683" cy="2268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718F43D3-73FA-400E-A0FE-F3B1F1BABB8F}" type="TxLink">
                <a:rPr lang="en-US" sz="1100" b="1" i="0" u="none" strike="noStrike">
                  <a:solidFill>
                    <a:srgbClr val="00B050"/>
                  </a:solidFill>
                  <a:latin typeface="Calibri"/>
                  <a:ea typeface="Calibri"/>
                  <a:cs typeface="Calibri"/>
                </a:rPr>
                <a:pPr algn="ctr"/>
                <a:t>5%</a:t>
              </a:fld>
              <a:endParaRPr lang="en-US" sz="1100" b="1">
                <a:solidFill>
                  <a:srgbClr val="00B050"/>
                </a:solidFill>
              </a:endParaRPr>
            </a:p>
          </xdr:txBody>
        </xdr:sp>
      </xdr:grpSp>
      <xdr:grpSp>
        <xdr:nvGrpSpPr>
          <xdr:cNvPr id="541" name="Group 540">
            <a:extLst>
              <a:ext uri="{FF2B5EF4-FFF2-40B4-BE49-F238E27FC236}">
                <a16:creationId xmlns:a16="http://schemas.microsoft.com/office/drawing/2014/main" id="{6ED1DE18-8C7F-4D51-8628-E2D23A4F1EEF}"/>
              </a:ext>
            </a:extLst>
          </xdr:cNvPr>
          <xdr:cNvGrpSpPr/>
        </xdr:nvGrpSpPr>
        <xdr:grpSpPr>
          <a:xfrm>
            <a:off x="4472940" y="1737360"/>
            <a:ext cx="331200" cy="324000"/>
            <a:chOff x="12923520" y="1760220"/>
            <a:chExt cx="331200" cy="324000"/>
          </a:xfrm>
        </xdr:grpSpPr>
        <xdr:sp macro="" textlink="">
          <xdr:nvSpPr>
            <xdr:cNvPr id="542" name="Oval 541">
              <a:extLst>
                <a:ext uri="{FF2B5EF4-FFF2-40B4-BE49-F238E27FC236}">
                  <a16:creationId xmlns:a16="http://schemas.microsoft.com/office/drawing/2014/main" id="{4C95A4BD-2B17-42AA-843D-C39507A65509}"/>
                </a:ext>
              </a:extLst>
            </xdr:cNvPr>
            <xdr:cNvSpPr/>
          </xdr:nvSpPr>
          <xdr:spPr>
            <a:xfrm>
              <a:off x="12923520" y="1760220"/>
              <a:ext cx="331200" cy="324000"/>
            </a:xfrm>
            <a:prstGeom prst="ellipse">
              <a:avLst/>
            </a:prstGeom>
            <a:solidFill>
              <a:srgbClr val="002060"/>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rgbClr val="002060"/>
                </a:solidFill>
              </a:endParaRPr>
            </a:p>
          </xdr:txBody>
        </xdr:sp>
        <xdr:pic>
          <xdr:nvPicPr>
            <xdr:cNvPr id="543" name="Graphic 542" descr="Shopping cart">
              <a:extLst>
                <a:ext uri="{FF2B5EF4-FFF2-40B4-BE49-F238E27FC236}">
                  <a16:creationId xmlns:a16="http://schemas.microsoft.com/office/drawing/2014/main" id="{D5D81E74-5514-4754-A16F-07D03C3A44B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2992100" y="1851660"/>
              <a:ext cx="190500" cy="190500"/>
            </a:xfrm>
            <a:prstGeom prst="rect">
              <a:avLst/>
            </a:prstGeom>
          </xdr:spPr>
        </xdr:pic>
      </xdr:grpSp>
    </xdr:grpSp>
    <xdr:clientData/>
  </xdr:twoCellAnchor>
  <xdr:twoCellAnchor>
    <xdr:from>
      <xdr:col>13</xdr:col>
      <xdr:colOff>22840</xdr:colOff>
      <xdr:row>3</xdr:row>
      <xdr:rowOff>60960</xdr:rowOff>
    </xdr:from>
    <xdr:to>
      <xdr:col>16</xdr:col>
      <xdr:colOff>175579</xdr:colOff>
      <xdr:row>8</xdr:row>
      <xdr:rowOff>154560</xdr:rowOff>
    </xdr:to>
    <xdr:grpSp>
      <xdr:nvGrpSpPr>
        <xdr:cNvPr id="6" name="Group 5">
          <a:extLst>
            <a:ext uri="{FF2B5EF4-FFF2-40B4-BE49-F238E27FC236}">
              <a16:creationId xmlns:a16="http://schemas.microsoft.com/office/drawing/2014/main" id="{19BAC041-BA11-4C12-9249-D9BDF8ADB216}"/>
            </a:ext>
          </a:extLst>
        </xdr:cNvPr>
        <xdr:cNvGrpSpPr/>
      </xdr:nvGrpSpPr>
      <xdr:grpSpPr>
        <a:xfrm>
          <a:off x="7947640" y="609600"/>
          <a:ext cx="1981539" cy="1008000"/>
          <a:chOff x="9448800" y="1684020"/>
          <a:chExt cx="2484000" cy="1080000"/>
        </a:xfrm>
      </xdr:grpSpPr>
      <xdr:grpSp>
        <xdr:nvGrpSpPr>
          <xdr:cNvPr id="527" name="Group 526">
            <a:extLst>
              <a:ext uri="{FF2B5EF4-FFF2-40B4-BE49-F238E27FC236}">
                <a16:creationId xmlns:a16="http://schemas.microsoft.com/office/drawing/2014/main" id="{0A01ED07-7117-497C-B377-2BED8A87C0A2}"/>
              </a:ext>
            </a:extLst>
          </xdr:cNvPr>
          <xdr:cNvGrpSpPr/>
        </xdr:nvGrpSpPr>
        <xdr:grpSpPr>
          <a:xfrm>
            <a:off x="9448800" y="1684020"/>
            <a:ext cx="2484000" cy="1080000"/>
            <a:chOff x="1776152" y="652550"/>
            <a:chExt cx="1967341" cy="1176250"/>
          </a:xfrm>
        </xdr:grpSpPr>
        <xdr:grpSp>
          <xdr:nvGrpSpPr>
            <xdr:cNvPr id="528" name="Group 527">
              <a:extLst>
                <a:ext uri="{FF2B5EF4-FFF2-40B4-BE49-F238E27FC236}">
                  <a16:creationId xmlns:a16="http://schemas.microsoft.com/office/drawing/2014/main" id="{54D162BE-0254-4ECE-B8BB-A939C527D4BF}"/>
                </a:ext>
              </a:extLst>
            </xdr:cNvPr>
            <xdr:cNvGrpSpPr/>
          </xdr:nvGrpSpPr>
          <xdr:grpSpPr>
            <a:xfrm>
              <a:off x="1776152" y="652550"/>
              <a:ext cx="1967341" cy="1176250"/>
              <a:chOff x="8132617" y="852054"/>
              <a:chExt cx="1835571" cy="824345"/>
            </a:xfrm>
          </xdr:grpSpPr>
          <xdr:sp macro="" textlink="">
            <xdr:nvSpPr>
              <xdr:cNvPr id="535" name="Rectangle 534">
                <a:extLst>
                  <a:ext uri="{FF2B5EF4-FFF2-40B4-BE49-F238E27FC236}">
                    <a16:creationId xmlns:a16="http://schemas.microsoft.com/office/drawing/2014/main" id="{0D1B42BF-9C54-490C-B08A-238263AF1E66}"/>
                  </a:ext>
                </a:extLst>
              </xdr:cNvPr>
              <xdr:cNvSpPr/>
            </xdr:nvSpPr>
            <xdr:spPr>
              <a:xfrm>
                <a:off x="8132617" y="852054"/>
                <a:ext cx="1835571" cy="824345"/>
              </a:xfrm>
              <a:prstGeom prst="rect">
                <a:avLst/>
              </a:prstGeom>
              <a:solidFill>
                <a:schemeClr val="bg1"/>
              </a:solidFill>
              <a:ln>
                <a:noFill/>
              </a:ln>
              <a:effectLst>
                <a:outerShdw blurRad="50800" dist="38100" dir="16200000"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900" b="1">
                  <a:solidFill>
                    <a:srgbClr val="333399"/>
                  </a:solidFill>
                  <a:latin typeface="+mn-lt"/>
                  <a:ea typeface="+mn-ea"/>
                  <a:cs typeface="+mn-cs"/>
                </a:endParaRPr>
              </a:p>
            </xdr:txBody>
          </xdr:sp>
          <xdr:sp macro="" textlink="">
            <xdr:nvSpPr>
              <xdr:cNvPr id="536" name="TextBox 535">
                <a:extLst>
                  <a:ext uri="{FF2B5EF4-FFF2-40B4-BE49-F238E27FC236}">
                    <a16:creationId xmlns:a16="http://schemas.microsoft.com/office/drawing/2014/main" id="{54205EA3-FF9C-471A-9E3B-FF2318E26193}"/>
                  </a:ext>
                </a:extLst>
              </xdr:cNvPr>
              <xdr:cNvSpPr txBox="1"/>
            </xdr:nvSpPr>
            <xdr:spPr>
              <a:xfrm>
                <a:off x="8406583" y="865910"/>
                <a:ext cx="1362980" cy="26323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a:solidFill>
                      <a:srgbClr val="002060"/>
                    </a:solidFill>
                    <a:latin typeface="+mn-lt"/>
                    <a:ea typeface="+mn-ea"/>
                    <a:cs typeface="+mn-cs"/>
                  </a:rPr>
                  <a:t>Total</a:t>
                </a:r>
                <a:r>
                  <a:rPr lang="en-GB" sz="1400" b="1" baseline="0">
                    <a:solidFill>
                      <a:srgbClr val="002060"/>
                    </a:solidFill>
                    <a:effectLst/>
                    <a:latin typeface="+mn-lt"/>
                    <a:ea typeface="+mn-ea"/>
                    <a:cs typeface="+mn-cs"/>
                  </a:rPr>
                  <a:t> Orders</a:t>
                </a:r>
                <a:endParaRPr lang="en-NG" sz="1400" b="1">
                  <a:solidFill>
                    <a:srgbClr val="002060"/>
                  </a:solidFill>
                  <a:latin typeface="+mn-lt"/>
                  <a:ea typeface="+mn-ea"/>
                  <a:cs typeface="+mn-cs"/>
                </a:endParaRPr>
              </a:p>
              <a:p>
                <a:endParaRPr lang="en-NG" sz="900"/>
              </a:p>
            </xdr:txBody>
          </xdr:sp>
          <xdr:sp macro="" textlink="Analysis!$D$56">
            <xdr:nvSpPr>
              <xdr:cNvPr id="537" name="TextBox 536">
                <a:extLst>
                  <a:ext uri="{FF2B5EF4-FFF2-40B4-BE49-F238E27FC236}">
                    <a16:creationId xmlns:a16="http://schemas.microsoft.com/office/drawing/2014/main" id="{D831EDF6-F71F-4E58-833C-12EE89AB3B6D}"/>
                  </a:ext>
                </a:extLst>
              </xdr:cNvPr>
              <xdr:cNvSpPr txBox="1"/>
            </xdr:nvSpPr>
            <xdr:spPr>
              <a:xfrm>
                <a:off x="8222672" y="1079047"/>
                <a:ext cx="1676400" cy="4092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A3E7F70D-699B-4C1B-8283-D804ED2C71D4}" type="TxLink">
                  <a:rPr lang="en-US" sz="2000" b="1" i="0" u="none" strike="noStrike">
                    <a:solidFill>
                      <a:srgbClr val="002060"/>
                    </a:solidFill>
                    <a:latin typeface="Calibri"/>
                    <a:ea typeface="Calibri"/>
                    <a:cs typeface="Calibri"/>
                  </a:rPr>
                  <a:pPr algn="ctr"/>
                  <a:t>500</a:t>
                </a:fld>
                <a:endParaRPr lang="en-NG" sz="2000" b="1">
                  <a:solidFill>
                    <a:srgbClr val="002060"/>
                  </a:solidFill>
                </a:endParaRPr>
              </a:p>
            </xdr:txBody>
          </xdr:sp>
        </xdr:grpSp>
        <xdr:sp macro="" textlink="">
          <xdr:nvSpPr>
            <xdr:cNvPr id="530" name="TextBox 529">
              <a:extLst>
                <a:ext uri="{FF2B5EF4-FFF2-40B4-BE49-F238E27FC236}">
                  <a16:creationId xmlns:a16="http://schemas.microsoft.com/office/drawing/2014/main" id="{F0E8FB70-E1D1-429A-8AA2-129ECB784D18}"/>
                </a:ext>
              </a:extLst>
            </xdr:cNvPr>
            <xdr:cNvSpPr txBox="1"/>
          </xdr:nvSpPr>
          <xdr:spPr>
            <a:xfrm>
              <a:off x="2320637" y="1511531"/>
              <a:ext cx="969818" cy="22167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000" b="1" i="1">
                  <a:solidFill>
                    <a:schemeClr val="tx1">
                      <a:lumMod val="65000"/>
                      <a:lumOff val="35000"/>
                    </a:schemeClr>
                  </a:solidFill>
                </a:rPr>
                <a:t>vs. last year</a:t>
              </a:r>
              <a:endParaRPr lang="en-NG" sz="1000" b="1" i="1">
                <a:solidFill>
                  <a:schemeClr val="tx1">
                    <a:lumMod val="65000"/>
                    <a:lumOff val="35000"/>
                  </a:schemeClr>
                </a:solidFill>
              </a:endParaRPr>
            </a:p>
          </xdr:txBody>
        </xdr:sp>
        <xdr:sp macro="" textlink="Analysis!H81">
          <xdr:nvSpPr>
            <xdr:cNvPr id="531" name="TextBox 530">
              <a:extLst>
                <a:ext uri="{FF2B5EF4-FFF2-40B4-BE49-F238E27FC236}">
                  <a16:creationId xmlns:a16="http://schemas.microsoft.com/office/drawing/2014/main" id="{C20602BD-1372-4D17-A447-4EFD8036DDDD}"/>
                </a:ext>
              </a:extLst>
            </xdr:cNvPr>
            <xdr:cNvSpPr txBox="1"/>
          </xdr:nvSpPr>
          <xdr:spPr>
            <a:xfrm>
              <a:off x="2676182" y="1341473"/>
              <a:ext cx="427683" cy="2714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5FFD8372-BC41-49EA-AF3F-838962D182AE}" type="TxLink">
                <a:rPr lang="en-US" sz="1100" b="1" i="0" u="none" strike="noStrike">
                  <a:solidFill>
                    <a:srgbClr val="00B050"/>
                  </a:solidFill>
                  <a:latin typeface="Calibri"/>
                  <a:ea typeface="Calibri"/>
                  <a:cs typeface="Calibri"/>
                </a:rPr>
                <a:pPr algn="ctr"/>
                <a:t>13%</a:t>
              </a:fld>
              <a:endParaRPr lang="en-US" sz="1100" b="1">
                <a:solidFill>
                  <a:srgbClr val="00B050"/>
                </a:solidFill>
              </a:endParaRPr>
            </a:p>
          </xdr:txBody>
        </xdr:sp>
      </xdr:grpSp>
      <xdr:grpSp>
        <xdr:nvGrpSpPr>
          <xdr:cNvPr id="547" name="Group 546">
            <a:extLst>
              <a:ext uri="{FF2B5EF4-FFF2-40B4-BE49-F238E27FC236}">
                <a16:creationId xmlns:a16="http://schemas.microsoft.com/office/drawing/2014/main" id="{6B4DA10C-C270-4C64-B110-719AF0344009}"/>
              </a:ext>
            </a:extLst>
          </xdr:cNvPr>
          <xdr:cNvGrpSpPr/>
        </xdr:nvGrpSpPr>
        <xdr:grpSpPr>
          <a:xfrm>
            <a:off x="9502140" y="1737360"/>
            <a:ext cx="338327" cy="324000"/>
            <a:chOff x="12809220" y="3093720"/>
            <a:chExt cx="338327" cy="324000"/>
          </a:xfrm>
        </xdr:grpSpPr>
        <xdr:sp macro="" textlink="">
          <xdr:nvSpPr>
            <xdr:cNvPr id="548" name="Oval 547">
              <a:extLst>
                <a:ext uri="{FF2B5EF4-FFF2-40B4-BE49-F238E27FC236}">
                  <a16:creationId xmlns:a16="http://schemas.microsoft.com/office/drawing/2014/main" id="{757ED3D7-B564-44DD-989A-5F037AEB09F9}"/>
                </a:ext>
              </a:extLst>
            </xdr:cNvPr>
            <xdr:cNvSpPr/>
          </xdr:nvSpPr>
          <xdr:spPr>
            <a:xfrm>
              <a:off x="12809220" y="3093720"/>
              <a:ext cx="338327" cy="324000"/>
            </a:xfrm>
            <a:prstGeom prst="ellipse">
              <a:avLst/>
            </a:prstGeom>
            <a:solidFill>
              <a:srgbClr val="002060"/>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rgbClr val="002060"/>
                </a:solidFill>
              </a:endParaRPr>
            </a:p>
          </xdr:txBody>
        </xdr:sp>
        <xdr:pic>
          <xdr:nvPicPr>
            <xdr:cNvPr id="549" name="Graphic 548" descr="Box">
              <a:extLst>
                <a:ext uri="{FF2B5EF4-FFF2-40B4-BE49-F238E27FC236}">
                  <a16:creationId xmlns:a16="http://schemas.microsoft.com/office/drawing/2014/main" id="{2D835078-1F25-4907-ABFD-2B4D7C41E27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2870180" y="3154680"/>
              <a:ext cx="198120" cy="198120"/>
            </a:xfrm>
            <a:prstGeom prst="rect">
              <a:avLst/>
            </a:prstGeom>
          </xdr:spPr>
        </xdr:pic>
      </xdr:grpSp>
    </xdr:grpSp>
    <xdr:clientData/>
  </xdr:twoCellAnchor>
  <xdr:twoCellAnchor>
    <xdr:from>
      <xdr:col>16</xdr:col>
      <xdr:colOff>213360</xdr:colOff>
      <xdr:row>3</xdr:row>
      <xdr:rowOff>60960</xdr:rowOff>
    </xdr:from>
    <xdr:to>
      <xdr:col>19</xdr:col>
      <xdr:colOff>518160</xdr:colOff>
      <xdr:row>8</xdr:row>
      <xdr:rowOff>154560</xdr:rowOff>
    </xdr:to>
    <xdr:grpSp>
      <xdr:nvGrpSpPr>
        <xdr:cNvPr id="10" name="Group 9">
          <a:extLst>
            <a:ext uri="{FF2B5EF4-FFF2-40B4-BE49-F238E27FC236}">
              <a16:creationId xmlns:a16="http://schemas.microsoft.com/office/drawing/2014/main" id="{FAC223B4-409D-4E45-A3D6-17440094CD29}"/>
            </a:ext>
          </a:extLst>
        </xdr:cNvPr>
        <xdr:cNvGrpSpPr/>
      </xdr:nvGrpSpPr>
      <xdr:grpSpPr>
        <a:xfrm>
          <a:off x="9966960" y="609600"/>
          <a:ext cx="2133600" cy="1008000"/>
          <a:chOff x="11948160" y="1691640"/>
          <a:chExt cx="2484000" cy="1080000"/>
        </a:xfrm>
      </xdr:grpSpPr>
      <xdr:grpSp>
        <xdr:nvGrpSpPr>
          <xdr:cNvPr id="505" name="Group 504">
            <a:extLst>
              <a:ext uri="{FF2B5EF4-FFF2-40B4-BE49-F238E27FC236}">
                <a16:creationId xmlns:a16="http://schemas.microsoft.com/office/drawing/2014/main" id="{8C18D6F3-230C-412C-8B1F-0E2AA2ADB9EA}"/>
              </a:ext>
            </a:extLst>
          </xdr:cNvPr>
          <xdr:cNvGrpSpPr/>
        </xdr:nvGrpSpPr>
        <xdr:grpSpPr>
          <a:xfrm>
            <a:off x="11948160" y="1691640"/>
            <a:ext cx="2484000" cy="1080000"/>
            <a:chOff x="1776152" y="652550"/>
            <a:chExt cx="1967341" cy="1176250"/>
          </a:xfrm>
        </xdr:grpSpPr>
        <xdr:grpSp>
          <xdr:nvGrpSpPr>
            <xdr:cNvPr id="506" name="Group 505">
              <a:extLst>
                <a:ext uri="{FF2B5EF4-FFF2-40B4-BE49-F238E27FC236}">
                  <a16:creationId xmlns:a16="http://schemas.microsoft.com/office/drawing/2014/main" id="{BD9B2B84-9DFF-42A9-9F81-7563C3322509}"/>
                </a:ext>
              </a:extLst>
            </xdr:cNvPr>
            <xdr:cNvGrpSpPr/>
          </xdr:nvGrpSpPr>
          <xdr:grpSpPr>
            <a:xfrm>
              <a:off x="1776152" y="652550"/>
              <a:ext cx="1967341" cy="1176250"/>
              <a:chOff x="8132617" y="852054"/>
              <a:chExt cx="1835571" cy="824345"/>
            </a:xfrm>
          </xdr:grpSpPr>
          <xdr:sp macro="" textlink="">
            <xdr:nvSpPr>
              <xdr:cNvPr id="513" name="Rectangle 512">
                <a:extLst>
                  <a:ext uri="{FF2B5EF4-FFF2-40B4-BE49-F238E27FC236}">
                    <a16:creationId xmlns:a16="http://schemas.microsoft.com/office/drawing/2014/main" id="{B578B0F3-BEA5-44F9-86CC-464536CDAA3A}"/>
                  </a:ext>
                </a:extLst>
              </xdr:cNvPr>
              <xdr:cNvSpPr/>
            </xdr:nvSpPr>
            <xdr:spPr>
              <a:xfrm>
                <a:off x="8132617" y="852054"/>
                <a:ext cx="1835571" cy="824345"/>
              </a:xfrm>
              <a:prstGeom prst="rect">
                <a:avLst/>
              </a:prstGeom>
              <a:solidFill>
                <a:schemeClr val="bg1"/>
              </a:solidFill>
              <a:ln>
                <a:noFill/>
              </a:ln>
              <a:effectLst>
                <a:outerShdw blurRad="50800" dist="38100" dir="16200000"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900" b="1">
                  <a:solidFill>
                    <a:srgbClr val="333399"/>
                  </a:solidFill>
                  <a:latin typeface="+mn-lt"/>
                  <a:ea typeface="+mn-ea"/>
                  <a:cs typeface="+mn-cs"/>
                </a:endParaRPr>
              </a:p>
            </xdr:txBody>
          </xdr:sp>
          <xdr:sp macro="" textlink="">
            <xdr:nvSpPr>
              <xdr:cNvPr id="514" name="TextBox 513">
                <a:extLst>
                  <a:ext uri="{FF2B5EF4-FFF2-40B4-BE49-F238E27FC236}">
                    <a16:creationId xmlns:a16="http://schemas.microsoft.com/office/drawing/2014/main" id="{CDAA29CC-EB5D-4CA7-B790-0F29B9BC7330}"/>
                  </a:ext>
                </a:extLst>
              </xdr:cNvPr>
              <xdr:cNvSpPr txBox="1"/>
            </xdr:nvSpPr>
            <xdr:spPr>
              <a:xfrm>
                <a:off x="8406583" y="865910"/>
                <a:ext cx="1362980" cy="26323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a:solidFill>
                      <a:srgbClr val="002060"/>
                    </a:solidFill>
                    <a:latin typeface="+mn-lt"/>
                    <a:ea typeface="+mn-ea"/>
                    <a:cs typeface="+mn-cs"/>
                  </a:rPr>
                  <a:t>Total</a:t>
                </a:r>
                <a:r>
                  <a:rPr lang="en-GB" sz="1400" b="1" baseline="0">
                    <a:solidFill>
                      <a:srgbClr val="002060"/>
                    </a:solidFill>
                    <a:effectLst/>
                    <a:latin typeface="+mn-lt"/>
                    <a:ea typeface="+mn-ea"/>
                    <a:cs typeface="+mn-cs"/>
                  </a:rPr>
                  <a:t> Customers</a:t>
                </a:r>
                <a:endParaRPr lang="en-NG" sz="1400" b="1">
                  <a:solidFill>
                    <a:srgbClr val="002060"/>
                  </a:solidFill>
                  <a:latin typeface="+mn-lt"/>
                  <a:ea typeface="+mn-ea"/>
                  <a:cs typeface="+mn-cs"/>
                </a:endParaRPr>
              </a:p>
              <a:p>
                <a:endParaRPr lang="en-NG" sz="900"/>
              </a:p>
            </xdr:txBody>
          </xdr:sp>
          <xdr:sp macro="" textlink="Analysis!$E$56">
            <xdr:nvSpPr>
              <xdr:cNvPr id="515" name="TextBox 514">
                <a:extLst>
                  <a:ext uri="{FF2B5EF4-FFF2-40B4-BE49-F238E27FC236}">
                    <a16:creationId xmlns:a16="http://schemas.microsoft.com/office/drawing/2014/main" id="{7D17C49A-6AF2-49EB-BA40-83DC6FE505EE}"/>
                  </a:ext>
                </a:extLst>
              </xdr:cNvPr>
              <xdr:cNvSpPr txBox="1"/>
            </xdr:nvSpPr>
            <xdr:spPr>
              <a:xfrm>
                <a:off x="8222672" y="1079047"/>
                <a:ext cx="1676400" cy="4092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9BFB18BB-D194-4260-82FC-4DDC13467AAB}" type="TxLink">
                  <a:rPr lang="en-US" sz="2000" b="1" i="0" u="none" strike="noStrike">
                    <a:solidFill>
                      <a:srgbClr val="002060"/>
                    </a:solidFill>
                    <a:latin typeface="Calibri"/>
                    <a:ea typeface="Calibri"/>
                    <a:cs typeface="Calibri"/>
                  </a:rPr>
                  <a:pPr algn="ctr"/>
                  <a:t>117</a:t>
                </a:fld>
                <a:endParaRPr lang="en-NG" sz="2000" b="1">
                  <a:solidFill>
                    <a:srgbClr val="002060"/>
                  </a:solidFill>
                </a:endParaRPr>
              </a:p>
            </xdr:txBody>
          </xdr:sp>
        </xdr:grpSp>
        <xdr:sp macro="" textlink="">
          <xdr:nvSpPr>
            <xdr:cNvPr id="508" name="TextBox 507">
              <a:extLst>
                <a:ext uri="{FF2B5EF4-FFF2-40B4-BE49-F238E27FC236}">
                  <a16:creationId xmlns:a16="http://schemas.microsoft.com/office/drawing/2014/main" id="{2EC504BE-B0B0-4726-8125-DCF14CB1A9FC}"/>
                </a:ext>
              </a:extLst>
            </xdr:cNvPr>
            <xdr:cNvSpPr txBox="1"/>
          </xdr:nvSpPr>
          <xdr:spPr>
            <a:xfrm>
              <a:off x="2320637" y="1511531"/>
              <a:ext cx="969818" cy="221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000" b="1" i="1">
                  <a:solidFill>
                    <a:schemeClr val="tx1">
                      <a:lumMod val="65000"/>
                      <a:lumOff val="35000"/>
                    </a:schemeClr>
                  </a:solidFill>
                </a:rPr>
                <a:t>vs. last year</a:t>
              </a:r>
              <a:endParaRPr lang="en-NG" sz="1000" b="1" i="1">
                <a:solidFill>
                  <a:schemeClr val="tx1">
                    <a:lumMod val="65000"/>
                    <a:lumOff val="35000"/>
                  </a:schemeClr>
                </a:solidFill>
              </a:endParaRPr>
            </a:p>
          </xdr:txBody>
        </xdr:sp>
        <xdr:sp macro="" textlink="Analysis!$H$85">
          <xdr:nvSpPr>
            <xdr:cNvPr id="509" name="TextBox 508">
              <a:extLst>
                <a:ext uri="{FF2B5EF4-FFF2-40B4-BE49-F238E27FC236}">
                  <a16:creationId xmlns:a16="http://schemas.microsoft.com/office/drawing/2014/main" id="{1FDAB10D-BAAE-484F-BA6B-7F7ACB05AAA1}"/>
                </a:ext>
              </a:extLst>
            </xdr:cNvPr>
            <xdr:cNvSpPr txBox="1"/>
          </xdr:nvSpPr>
          <xdr:spPr>
            <a:xfrm>
              <a:off x="2668682" y="1359257"/>
              <a:ext cx="398337" cy="273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0CFDB754-F5C8-4EF6-B41C-7998F64BD428}" type="TxLink">
                <a:rPr lang="en-US" sz="1100" b="1" i="0" u="none" strike="noStrike">
                  <a:solidFill>
                    <a:srgbClr val="00B050"/>
                  </a:solidFill>
                  <a:latin typeface="Calibri"/>
                  <a:ea typeface="Calibri"/>
                  <a:cs typeface="Calibri"/>
                </a:rPr>
                <a:pPr algn="ctr"/>
                <a:t>8%</a:t>
              </a:fld>
              <a:endParaRPr lang="en-US" sz="1100" b="1">
                <a:solidFill>
                  <a:srgbClr val="00B050"/>
                </a:solidFill>
              </a:endParaRPr>
            </a:p>
          </xdr:txBody>
        </xdr:sp>
      </xdr:grpSp>
      <xdr:grpSp>
        <xdr:nvGrpSpPr>
          <xdr:cNvPr id="550" name="Group 549">
            <a:extLst>
              <a:ext uri="{FF2B5EF4-FFF2-40B4-BE49-F238E27FC236}">
                <a16:creationId xmlns:a16="http://schemas.microsoft.com/office/drawing/2014/main" id="{75F6D5D6-ECD1-4938-A88E-E0D3F9D0A616}"/>
              </a:ext>
            </a:extLst>
          </xdr:cNvPr>
          <xdr:cNvGrpSpPr/>
        </xdr:nvGrpSpPr>
        <xdr:grpSpPr>
          <a:xfrm>
            <a:off x="12009120" y="1737360"/>
            <a:ext cx="331200" cy="324000"/>
            <a:chOff x="13258800" y="2918460"/>
            <a:chExt cx="331200" cy="324000"/>
          </a:xfrm>
        </xdr:grpSpPr>
        <xdr:sp macro="" textlink="">
          <xdr:nvSpPr>
            <xdr:cNvPr id="551" name="Oval 550">
              <a:extLst>
                <a:ext uri="{FF2B5EF4-FFF2-40B4-BE49-F238E27FC236}">
                  <a16:creationId xmlns:a16="http://schemas.microsoft.com/office/drawing/2014/main" id="{0F042B9E-7E61-40FF-B729-119DA3616E77}"/>
                </a:ext>
              </a:extLst>
            </xdr:cNvPr>
            <xdr:cNvSpPr/>
          </xdr:nvSpPr>
          <xdr:spPr>
            <a:xfrm>
              <a:off x="13258800" y="2918460"/>
              <a:ext cx="331200" cy="324000"/>
            </a:xfrm>
            <a:prstGeom prst="ellipse">
              <a:avLst/>
            </a:prstGeom>
            <a:solidFill>
              <a:srgbClr val="002060"/>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rgbClr val="002060"/>
                </a:solidFill>
              </a:endParaRPr>
            </a:p>
          </xdr:txBody>
        </xdr:sp>
        <xdr:pic>
          <xdr:nvPicPr>
            <xdr:cNvPr id="552" name="Graphic 551" descr="Users">
              <a:extLst>
                <a:ext uri="{FF2B5EF4-FFF2-40B4-BE49-F238E27FC236}">
                  <a16:creationId xmlns:a16="http://schemas.microsoft.com/office/drawing/2014/main" id="{BF508B48-719A-47C0-AAD0-44494807F66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3312140" y="2948940"/>
              <a:ext cx="237913" cy="232741"/>
            </a:xfrm>
            <a:prstGeom prst="rect">
              <a:avLst/>
            </a:prstGeom>
          </xdr:spPr>
        </xdr:pic>
      </xdr:grpSp>
    </xdr:grpSp>
    <xdr:clientData/>
  </xdr:twoCellAnchor>
  <xdr:twoCellAnchor>
    <xdr:from>
      <xdr:col>9</xdr:col>
      <xdr:colOff>441920</xdr:colOff>
      <xdr:row>3</xdr:row>
      <xdr:rowOff>60960</xdr:rowOff>
    </xdr:from>
    <xdr:to>
      <xdr:col>12</xdr:col>
      <xdr:colOff>594659</xdr:colOff>
      <xdr:row>8</xdr:row>
      <xdr:rowOff>154560</xdr:rowOff>
    </xdr:to>
    <xdr:grpSp>
      <xdr:nvGrpSpPr>
        <xdr:cNvPr id="5" name="Group 4">
          <a:extLst>
            <a:ext uri="{FF2B5EF4-FFF2-40B4-BE49-F238E27FC236}">
              <a16:creationId xmlns:a16="http://schemas.microsoft.com/office/drawing/2014/main" id="{548D6564-22CE-4F62-BFC8-91DCF58A2646}"/>
            </a:ext>
          </a:extLst>
        </xdr:cNvPr>
        <xdr:cNvGrpSpPr/>
      </xdr:nvGrpSpPr>
      <xdr:grpSpPr>
        <a:xfrm>
          <a:off x="5928320" y="609600"/>
          <a:ext cx="1981539" cy="1008000"/>
          <a:chOff x="6949440" y="1684020"/>
          <a:chExt cx="2484000" cy="1080000"/>
        </a:xfrm>
      </xdr:grpSpPr>
      <xdr:grpSp>
        <xdr:nvGrpSpPr>
          <xdr:cNvPr id="575" name="Group 574">
            <a:extLst>
              <a:ext uri="{FF2B5EF4-FFF2-40B4-BE49-F238E27FC236}">
                <a16:creationId xmlns:a16="http://schemas.microsoft.com/office/drawing/2014/main" id="{1BC77F8D-5624-405A-BAD0-BB163F53A59F}"/>
              </a:ext>
            </a:extLst>
          </xdr:cNvPr>
          <xdr:cNvGrpSpPr/>
        </xdr:nvGrpSpPr>
        <xdr:grpSpPr>
          <a:xfrm>
            <a:off x="6949440" y="1684020"/>
            <a:ext cx="2484000" cy="1080000"/>
            <a:chOff x="1776152" y="652550"/>
            <a:chExt cx="1967341" cy="1176250"/>
          </a:xfrm>
        </xdr:grpSpPr>
        <xdr:grpSp>
          <xdr:nvGrpSpPr>
            <xdr:cNvPr id="576" name="Group 575">
              <a:extLst>
                <a:ext uri="{FF2B5EF4-FFF2-40B4-BE49-F238E27FC236}">
                  <a16:creationId xmlns:a16="http://schemas.microsoft.com/office/drawing/2014/main" id="{32341F45-0A8E-4D45-8D70-0B4BC44212FA}"/>
                </a:ext>
              </a:extLst>
            </xdr:cNvPr>
            <xdr:cNvGrpSpPr/>
          </xdr:nvGrpSpPr>
          <xdr:grpSpPr>
            <a:xfrm>
              <a:off x="1776152" y="652550"/>
              <a:ext cx="1967341" cy="1176250"/>
              <a:chOff x="8132617" y="852054"/>
              <a:chExt cx="1835571" cy="824345"/>
            </a:xfrm>
          </xdr:grpSpPr>
          <xdr:sp macro="" textlink="">
            <xdr:nvSpPr>
              <xdr:cNvPr id="580" name="Rectangle 579">
                <a:extLst>
                  <a:ext uri="{FF2B5EF4-FFF2-40B4-BE49-F238E27FC236}">
                    <a16:creationId xmlns:a16="http://schemas.microsoft.com/office/drawing/2014/main" id="{37FDB429-3860-4F9D-9119-19A4CEB4FE67}"/>
                  </a:ext>
                </a:extLst>
              </xdr:cNvPr>
              <xdr:cNvSpPr/>
            </xdr:nvSpPr>
            <xdr:spPr>
              <a:xfrm>
                <a:off x="8132617" y="852054"/>
                <a:ext cx="1835571" cy="824345"/>
              </a:xfrm>
              <a:prstGeom prst="rect">
                <a:avLst/>
              </a:prstGeom>
              <a:solidFill>
                <a:schemeClr val="bg1"/>
              </a:solidFill>
              <a:ln>
                <a:noFill/>
              </a:ln>
              <a:effectLst>
                <a:outerShdw blurRad="50800" dist="38100" dir="16200000"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900" b="1">
                  <a:solidFill>
                    <a:srgbClr val="333399"/>
                  </a:solidFill>
                  <a:latin typeface="+mn-lt"/>
                  <a:ea typeface="+mn-ea"/>
                  <a:cs typeface="+mn-cs"/>
                </a:endParaRPr>
              </a:p>
            </xdr:txBody>
          </xdr:sp>
          <xdr:sp macro="" textlink="">
            <xdr:nvSpPr>
              <xdr:cNvPr id="581" name="TextBox 580">
                <a:extLst>
                  <a:ext uri="{FF2B5EF4-FFF2-40B4-BE49-F238E27FC236}">
                    <a16:creationId xmlns:a16="http://schemas.microsoft.com/office/drawing/2014/main" id="{39BA86EE-81D7-4928-87C1-52D401B353B5}"/>
                  </a:ext>
                </a:extLst>
              </xdr:cNvPr>
              <xdr:cNvSpPr txBox="1"/>
            </xdr:nvSpPr>
            <xdr:spPr>
              <a:xfrm>
                <a:off x="8406583" y="865910"/>
                <a:ext cx="1362980" cy="26323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a:solidFill>
                      <a:srgbClr val="002060"/>
                    </a:solidFill>
                    <a:latin typeface="+mn-lt"/>
                    <a:ea typeface="+mn-ea"/>
                    <a:cs typeface="+mn-cs"/>
                  </a:rPr>
                  <a:t>Units</a:t>
                </a:r>
                <a:r>
                  <a:rPr lang="en-GB" sz="1400" b="1" baseline="0">
                    <a:solidFill>
                      <a:srgbClr val="002060"/>
                    </a:solidFill>
                    <a:latin typeface="+mn-lt"/>
                    <a:ea typeface="+mn-ea"/>
                    <a:cs typeface="+mn-cs"/>
                  </a:rPr>
                  <a:t> Sold</a:t>
                </a:r>
                <a:endParaRPr lang="en-NG" sz="1400" b="1">
                  <a:solidFill>
                    <a:srgbClr val="002060"/>
                  </a:solidFill>
                  <a:latin typeface="+mn-lt"/>
                  <a:ea typeface="+mn-ea"/>
                  <a:cs typeface="+mn-cs"/>
                </a:endParaRPr>
              </a:p>
              <a:p>
                <a:endParaRPr lang="en-NG" sz="900"/>
              </a:p>
            </xdr:txBody>
          </xdr:sp>
          <xdr:sp macro="" textlink="Analysis!$C$56">
            <xdr:nvSpPr>
              <xdr:cNvPr id="582" name="TextBox 581">
                <a:extLst>
                  <a:ext uri="{FF2B5EF4-FFF2-40B4-BE49-F238E27FC236}">
                    <a16:creationId xmlns:a16="http://schemas.microsoft.com/office/drawing/2014/main" id="{DDE98285-C20C-494F-A41C-A46796CE3A4E}"/>
                  </a:ext>
                </a:extLst>
              </xdr:cNvPr>
              <xdr:cNvSpPr txBox="1"/>
            </xdr:nvSpPr>
            <xdr:spPr>
              <a:xfrm>
                <a:off x="8222672" y="1079047"/>
                <a:ext cx="1676400" cy="4092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833EE352-1408-4B23-9F5A-AFFB90025BD7}" type="TxLink">
                  <a:rPr lang="en-US" sz="2000" b="1" i="0" u="none" strike="noStrike">
                    <a:solidFill>
                      <a:srgbClr val="002060"/>
                    </a:solidFill>
                    <a:latin typeface="Calibri"/>
                    <a:ea typeface="Calibri"/>
                    <a:cs typeface="Calibri"/>
                  </a:rPr>
                  <a:pPr algn="ctr"/>
                  <a:t> 1,763 </a:t>
                </a:fld>
                <a:endParaRPr lang="en-NG" sz="2000" b="1">
                  <a:solidFill>
                    <a:srgbClr val="002060"/>
                  </a:solidFill>
                </a:endParaRPr>
              </a:p>
            </xdr:txBody>
          </xdr:sp>
        </xdr:grpSp>
        <xdr:sp macro="" textlink="">
          <xdr:nvSpPr>
            <xdr:cNvPr id="577" name="Arrow: Up 576">
              <a:extLst>
                <a:ext uri="{FF2B5EF4-FFF2-40B4-BE49-F238E27FC236}">
                  <a16:creationId xmlns:a16="http://schemas.microsoft.com/office/drawing/2014/main" id="{198A0155-A838-4C9E-83D6-8A09289349C1}"/>
                </a:ext>
              </a:extLst>
            </xdr:cNvPr>
            <xdr:cNvSpPr/>
          </xdr:nvSpPr>
          <xdr:spPr>
            <a:xfrm flipH="1">
              <a:off x="2624131" y="1432555"/>
              <a:ext cx="37066" cy="75616"/>
            </a:xfrm>
            <a:prstGeom prst="upArrow">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578" name="TextBox 577">
              <a:extLst>
                <a:ext uri="{FF2B5EF4-FFF2-40B4-BE49-F238E27FC236}">
                  <a16:creationId xmlns:a16="http://schemas.microsoft.com/office/drawing/2014/main" id="{FC542A33-A1C7-4426-A82B-5736933A051D}"/>
                </a:ext>
              </a:extLst>
            </xdr:cNvPr>
            <xdr:cNvSpPr txBox="1"/>
          </xdr:nvSpPr>
          <xdr:spPr>
            <a:xfrm>
              <a:off x="2320637" y="1511531"/>
              <a:ext cx="969818" cy="221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000" b="1" i="1">
                  <a:solidFill>
                    <a:schemeClr val="tx1">
                      <a:lumMod val="65000"/>
                      <a:lumOff val="35000"/>
                    </a:schemeClr>
                  </a:solidFill>
                </a:rPr>
                <a:t>vs. last year</a:t>
              </a:r>
              <a:endParaRPr lang="en-NG" sz="1000" b="1" i="1">
                <a:solidFill>
                  <a:schemeClr val="tx1">
                    <a:lumMod val="65000"/>
                    <a:lumOff val="35000"/>
                  </a:schemeClr>
                </a:solidFill>
              </a:endParaRPr>
            </a:p>
          </xdr:txBody>
        </xdr:sp>
        <xdr:sp macro="" textlink="Analysis!H83">
          <xdr:nvSpPr>
            <xdr:cNvPr id="579" name="TextBox 578">
              <a:extLst>
                <a:ext uri="{FF2B5EF4-FFF2-40B4-BE49-F238E27FC236}">
                  <a16:creationId xmlns:a16="http://schemas.microsoft.com/office/drawing/2014/main" id="{C73AF1EA-529C-4842-8094-75F83F326296}"/>
                </a:ext>
              </a:extLst>
            </xdr:cNvPr>
            <xdr:cNvSpPr txBox="1"/>
          </xdr:nvSpPr>
          <xdr:spPr>
            <a:xfrm>
              <a:off x="2633938" y="1332581"/>
              <a:ext cx="427683" cy="2268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96324872-F423-4427-9797-52C5D1CA664C}" type="TxLink">
                <a:rPr lang="en-US" sz="1100" b="1" i="0" u="none" strike="noStrike">
                  <a:solidFill>
                    <a:srgbClr val="00B050"/>
                  </a:solidFill>
                  <a:latin typeface="Calibri"/>
                  <a:ea typeface="Calibri"/>
                  <a:cs typeface="Calibri"/>
                </a:rPr>
                <a:pPr algn="ctr"/>
                <a:t>16%</a:t>
              </a:fld>
              <a:endParaRPr lang="en-US" sz="1100" b="1">
                <a:solidFill>
                  <a:srgbClr val="00B050"/>
                </a:solidFill>
              </a:endParaRPr>
            </a:p>
          </xdr:txBody>
        </xdr:sp>
      </xdr:grpSp>
      <xdr:grpSp>
        <xdr:nvGrpSpPr>
          <xdr:cNvPr id="87" name="Group 86">
            <a:extLst>
              <a:ext uri="{FF2B5EF4-FFF2-40B4-BE49-F238E27FC236}">
                <a16:creationId xmlns:a16="http://schemas.microsoft.com/office/drawing/2014/main" id="{C7500126-92F0-4B60-BF47-4BA4198B4AC5}"/>
              </a:ext>
            </a:extLst>
          </xdr:cNvPr>
          <xdr:cNvGrpSpPr/>
        </xdr:nvGrpSpPr>
        <xdr:grpSpPr>
          <a:xfrm>
            <a:off x="6979920" y="1714500"/>
            <a:ext cx="331200" cy="324000"/>
            <a:chOff x="12771120" y="2583180"/>
            <a:chExt cx="331200" cy="324000"/>
          </a:xfrm>
        </xdr:grpSpPr>
        <xdr:sp macro="" textlink="">
          <xdr:nvSpPr>
            <xdr:cNvPr id="88" name="Oval 87">
              <a:extLst>
                <a:ext uri="{FF2B5EF4-FFF2-40B4-BE49-F238E27FC236}">
                  <a16:creationId xmlns:a16="http://schemas.microsoft.com/office/drawing/2014/main" id="{24BC9263-9452-4AAA-B8B6-E162492CC908}"/>
                </a:ext>
              </a:extLst>
            </xdr:cNvPr>
            <xdr:cNvSpPr/>
          </xdr:nvSpPr>
          <xdr:spPr>
            <a:xfrm>
              <a:off x="12771120" y="2583180"/>
              <a:ext cx="331200" cy="324000"/>
            </a:xfrm>
            <a:prstGeom prst="ellipse">
              <a:avLst/>
            </a:prstGeom>
            <a:solidFill>
              <a:srgbClr val="002060"/>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rgbClr val="002060"/>
                </a:solidFill>
              </a:endParaRPr>
            </a:p>
          </xdr:txBody>
        </xdr:sp>
        <xdr:pic>
          <xdr:nvPicPr>
            <xdr:cNvPr id="89" name="Graphic 88" descr="Shopping basket">
              <a:extLst>
                <a:ext uri="{FF2B5EF4-FFF2-40B4-BE49-F238E27FC236}">
                  <a16:creationId xmlns:a16="http://schemas.microsoft.com/office/drawing/2014/main" id="{48D55D1E-B421-45BD-87B4-31ABA0D9FCE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2824460" y="2621280"/>
              <a:ext cx="236220" cy="236220"/>
            </a:xfrm>
            <a:prstGeom prst="rect">
              <a:avLst/>
            </a:prstGeom>
          </xdr:spPr>
        </xdr:pic>
      </xdr:grpSp>
    </xdr:grpSp>
    <xdr:clientData/>
  </xdr:twoCellAnchor>
  <xdr:twoCellAnchor>
    <xdr:from>
      <xdr:col>2</xdr:col>
      <xdr:colOff>601980</xdr:colOff>
      <xdr:row>0</xdr:row>
      <xdr:rowOff>0</xdr:rowOff>
    </xdr:from>
    <xdr:to>
      <xdr:col>24</xdr:col>
      <xdr:colOff>7620</xdr:colOff>
      <xdr:row>3</xdr:row>
      <xdr:rowOff>83127</xdr:rowOff>
    </xdr:to>
    <xdr:grpSp>
      <xdr:nvGrpSpPr>
        <xdr:cNvPr id="3" name="Group 2">
          <a:extLst>
            <a:ext uri="{FF2B5EF4-FFF2-40B4-BE49-F238E27FC236}">
              <a16:creationId xmlns:a16="http://schemas.microsoft.com/office/drawing/2014/main" id="{08E29368-2828-4A9C-B538-6B0694D67AEB}"/>
            </a:ext>
          </a:extLst>
        </xdr:cNvPr>
        <xdr:cNvGrpSpPr/>
      </xdr:nvGrpSpPr>
      <xdr:grpSpPr>
        <a:xfrm>
          <a:off x="1821180" y="0"/>
          <a:ext cx="12816840" cy="631767"/>
          <a:chOff x="1775279" y="20782"/>
          <a:chExt cx="9273721" cy="734291"/>
        </a:xfrm>
        <a:solidFill>
          <a:schemeClr val="tx2">
            <a:lumMod val="75000"/>
          </a:schemeClr>
        </a:solidFill>
      </xdr:grpSpPr>
      <xdr:sp macro="" textlink="">
        <xdr:nvSpPr>
          <xdr:cNvPr id="7" name="Rectangle 6">
            <a:extLst>
              <a:ext uri="{FF2B5EF4-FFF2-40B4-BE49-F238E27FC236}">
                <a16:creationId xmlns:a16="http://schemas.microsoft.com/office/drawing/2014/main" id="{FBD45EF6-D8E6-4AD6-8F3B-B7C78695787E}"/>
              </a:ext>
            </a:extLst>
          </xdr:cNvPr>
          <xdr:cNvSpPr/>
        </xdr:nvSpPr>
        <xdr:spPr>
          <a:xfrm>
            <a:off x="1775279" y="20782"/>
            <a:ext cx="9273721" cy="734291"/>
          </a:xfrm>
          <a:prstGeom prst="rect">
            <a:avLst/>
          </a:prstGeom>
          <a:grpFill/>
          <a:ln>
            <a:noFill/>
          </a:ln>
          <a:effectLst>
            <a:outerShdw blurRad="50800" dist="38100" dir="16200000"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900" b="1">
              <a:solidFill>
                <a:srgbClr val="333399"/>
              </a:solidFill>
              <a:latin typeface="+mn-lt"/>
              <a:ea typeface="+mn-ea"/>
              <a:cs typeface="+mn-cs"/>
            </a:endParaRPr>
          </a:p>
        </xdr:txBody>
      </xdr:sp>
      <xdr:sp macro="" textlink="">
        <xdr:nvSpPr>
          <xdr:cNvPr id="8" name="TextBox 7">
            <a:extLst>
              <a:ext uri="{FF2B5EF4-FFF2-40B4-BE49-F238E27FC236}">
                <a16:creationId xmlns:a16="http://schemas.microsoft.com/office/drawing/2014/main" id="{3004A955-A499-4012-A950-DCE1C53C2A04}"/>
              </a:ext>
            </a:extLst>
          </xdr:cNvPr>
          <xdr:cNvSpPr txBox="1"/>
        </xdr:nvSpPr>
        <xdr:spPr>
          <a:xfrm>
            <a:off x="2651470" y="55418"/>
            <a:ext cx="7765472" cy="440655"/>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800" b="1" baseline="0">
                <a:solidFill>
                  <a:schemeClr val="bg1"/>
                </a:solidFill>
              </a:rPr>
              <a:t>SALES PERFORMANCE DASHBOARD 2024-2025</a:t>
            </a:r>
            <a:endParaRPr lang="en-NG" sz="1800" b="1">
              <a:solidFill>
                <a:schemeClr val="bg1"/>
              </a:solidFill>
            </a:endParaRPr>
          </a:p>
        </xdr:txBody>
      </xdr:sp>
      <xdr:sp macro="" textlink="">
        <xdr:nvSpPr>
          <xdr:cNvPr id="9" name="TextBox 8">
            <a:extLst>
              <a:ext uri="{FF2B5EF4-FFF2-40B4-BE49-F238E27FC236}">
                <a16:creationId xmlns:a16="http://schemas.microsoft.com/office/drawing/2014/main" id="{465C8FAD-4A89-4BB0-86CF-BA7397BC8A72}"/>
              </a:ext>
            </a:extLst>
          </xdr:cNvPr>
          <xdr:cNvSpPr txBox="1"/>
        </xdr:nvSpPr>
        <xdr:spPr>
          <a:xfrm>
            <a:off x="4655127" y="374073"/>
            <a:ext cx="3449782" cy="307493"/>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100" b="1" i="1">
                <a:solidFill>
                  <a:schemeClr val="tx2">
                    <a:lumMod val="40000"/>
                    <a:lumOff val="60000"/>
                  </a:schemeClr>
                </a:solidFill>
              </a:rPr>
              <a:t>All</a:t>
            </a:r>
            <a:r>
              <a:rPr lang="en-GB" sz="1100" b="1" i="1" baseline="0">
                <a:solidFill>
                  <a:schemeClr val="tx2">
                    <a:lumMod val="40000"/>
                    <a:lumOff val="60000"/>
                  </a:schemeClr>
                </a:solidFill>
              </a:rPr>
              <a:t> figures in Naira</a:t>
            </a:r>
            <a:endParaRPr lang="en-NG" sz="1100" b="1" i="1">
              <a:solidFill>
                <a:schemeClr val="tx2">
                  <a:lumMod val="40000"/>
                  <a:lumOff val="60000"/>
                </a:schemeClr>
              </a:solidFill>
            </a:endParaRPr>
          </a:p>
        </xdr:txBody>
      </xdr:sp>
    </xdr:grpSp>
    <xdr:clientData/>
  </xdr:twoCellAnchor>
  <xdr:twoCellAnchor>
    <xdr:from>
      <xdr:col>0</xdr:col>
      <xdr:colOff>1</xdr:colOff>
      <xdr:row>8</xdr:row>
      <xdr:rowOff>45720</xdr:rowOff>
    </xdr:from>
    <xdr:to>
      <xdr:col>2</xdr:col>
      <xdr:colOff>580801</xdr:colOff>
      <xdr:row>17</xdr:row>
      <xdr:rowOff>160020</xdr:rowOff>
    </xdr:to>
    <xdr:grpSp>
      <xdr:nvGrpSpPr>
        <xdr:cNvPr id="295" name="Group 294">
          <a:extLst>
            <a:ext uri="{FF2B5EF4-FFF2-40B4-BE49-F238E27FC236}">
              <a16:creationId xmlns:a16="http://schemas.microsoft.com/office/drawing/2014/main" id="{913350AA-7E81-43A8-903D-6D0E82D4679F}"/>
            </a:ext>
          </a:extLst>
        </xdr:cNvPr>
        <xdr:cNvGrpSpPr/>
      </xdr:nvGrpSpPr>
      <xdr:grpSpPr>
        <a:xfrm>
          <a:off x="1" y="1508760"/>
          <a:ext cx="1800000" cy="1760220"/>
          <a:chOff x="10172700" y="899160"/>
          <a:chExt cx="1797568" cy="2362571"/>
        </a:xfrm>
      </xdr:grpSpPr>
      <xdr:sp macro="" textlink="">
        <xdr:nvSpPr>
          <xdr:cNvPr id="287" name="Rectangle 286">
            <a:extLst>
              <a:ext uri="{FF2B5EF4-FFF2-40B4-BE49-F238E27FC236}">
                <a16:creationId xmlns:a16="http://schemas.microsoft.com/office/drawing/2014/main" id="{712FF433-DAA1-4CBB-AC28-8A0F37660362}"/>
              </a:ext>
            </a:extLst>
          </xdr:cNvPr>
          <xdr:cNvSpPr/>
        </xdr:nvSpPr>
        <xdr:spPr>
          <a:xfrm>
            <a:off x="10172700" y="899160"/>
            <a:ext cx="1789193" cy="236092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mc:AlternateContent xmlns:mc="http://schemas.openxmlformats.org/markup-compatibility/2006" xmlns:a14="http://schemas.microsoft.com/office/drawing/2010/main">
        <mc:Choice Requires="a14">
          <xdr:graphicFrame macro="">
            <xdr:nvGraphicFramePr>
              <xdr:cNvPr id="290" name="Region 5">
                <a:extLst>
                  <a:ext uri="{FF2B5EF4-FFF2-40B4-BE49-F238E27FC236}">
                    <a16:creationId xmlns:a16="http://schemas.microsoft.com/office/drawing/2014/main" id="{D9C6034A-B30A-4FC8-A87F-06F528CF919B}"/>
                  </a:ext>
                </a:extLst>
              </xdr:cNvPr>
              <xdr:cNvGraphicFramePr/>
            </xdr:nvGraphicFramePr>
            <xdr:xfrm>
              <a:off x="10172700" y="899160"/>
              <a:ext cx="1797568" cy="2362571"/>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1" y="1508760"/>
                <a:ext cx="1800000" cy="176022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xdr:colOff>
      <xdr:row>18</xdr:row>
      <xdr:rowOff>7619</xdr:rowOff>
    </xdr:from>
    <xdr:to>
      <xdr:col>2</xdr:col>
      <xdr:colOff>579121</xdr:colOff>
      <xdr:row>28</xdr:row>
      <xdr:rowOff>144779</xdr:rowOff>
    </xdr:to>
    <xdr:grpSp>
      <xdr:nvGrpSpPr>
        <xdr:cNvPr id="292" name="Group 291">
          <a:extLst>
            <a:ext uri="{FF2B5EF4-FFF2-40B4-BE49-F238E27FC236}">
              <a16:creationId xmlns:a16="http://schemas.microsoft.com/office/drawing/2014/main" id="{140B0DB2-DC91-4849-B11D-3FF865B390A8}"/>
            </a:ext>
          </a:extLst>
        </xdr:cNvPr>
        <xdr:cNvGrpSpPr/>
      </xdr:nvGrpSpPr>
      <xdr:grpSpPr>
        <a:xfrm>
          <a:off x="1" y="3299459"/>
          <a:ext cx="1798320" cy="1965960"/>
          <a:chOff x="-23011" y="3610929"/>
          <a:chExt cx="1728999" cy="2110727"/>
        </a:xfrm>
      </xdr:grpSpPr>
      <xdr:sp macro="" textlink="">
        <xdr:nvSpPr>
          <xdr:cNvPr id="293" name="Rectangle 292">
            <a:extLst>
              <a:ext uri="{FF2B5EF4-FFF2-40B4-BE49-F238E27FC236}">
                <a16:creationId xmlns:a16="http://schemas.microsoft.com/office/drawing/2014/main" id="{E8759C7B-4D33-4AAC-ADF6-DF6E4F1B96FA}"/>
              </a:ext>
            </a:extLst>
          </xdr:cNvPr>
          <xdr:cNvSpPr/>
        </xdr:nvSpPr>
        <xdr:spPr>
          <a:xfrm>
            <a:off x="-23011" y="3610933"/>
            <a:ext cx="1728999" cy="210280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mc:AlternateContent xmlns:mc="http://schemas.openxmlformats.org/markup-compatibility/2006">
        <mc:Choice xmlns:a14="http://schemas.microsoft.com/office/drawing/2010/main" Requires="a14">
          <xdr:graphicFrame macro="">
            <xdr:nvGraphicFramePr>
              <xdr:cNvPr id="294" name="Category 3">
                <a:extLst>
                  <a:ext uri="{FF2B5EF4-FFF2-40B4-BE49-F238E27FC236}">
                    <a16:creationId xmlns:a16="http://schemas.microsoft.com/office/drawing/2014/main" id="{BE4D3BE3-4F4B-4F64-A992-94BB9AA40FAC}"/>
                  </a:ext>
                </a:extLst>
              </xdr:cNvPr>
              <xdr:cNvGraphicFramePr/>
            </xdr:nvGraphicFramePr>
            <xdr:xfrm>
              <a:off x="-8041" y="3610929"/>
              <a:ext cx="1707572" cy="2110727"/>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15571" y="3299459"/>
                <a:ext cx="1776034" cy="196596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xdr:colOff>
      <xdr:row>28</xdr:row>
      <xdr:rowOff>167561</xdr:rowOff>
    </xdr:from>
    <xdr:to>
      <xdr:col>2</xdr:col>
      <xdr:colOff>579121</xdr:colOff>
      <xdr:row>36</xdr:row>
      <xdr:rowOff>152400</xdr:rowOff>
    </xdr:to>
    <xdr:grpSp>
      <xdr:nvGrpSpPr>
        <xdr:cNvPr id="353" name="Group 352">
          <a:extLst>
            <a:ext uri="{FF2B5EF4-FFF2-40B4-BE49-F238E27FC236}">
              <a16:creationId xmlns:a16="http://schemas.microsoft.com/office/drawing/2014/main" id="{CD71DA8B-213E-41D6-B525-F12E4D1B4391}"/>
            </a:ext>
          </a:extLst>
        </xdr:cNvPr>
        <xdr:cNvGrpSpPr/>
      </xdr:nvGrpSpPr>
      <xdr:grpSpPr>
        <a:xfrm>
          <a:off x="1" y="5288201"/>
          <a:ext cx="1798320" cy="1447879"/>
          <a:chOff x="14927581" y="2887980"/>
          <a:chExt cx="1737360" cy="2141634"/>
        </a:xfrm>
      </xdr:grpSpPr>
      <xdr:sp macro="" textlink="">
        <xdr:nvSpPr>
          <xdr:cNvPr id="354" name="Rectangle 353">
            <a:extLst>
              <a:ext uri="{FF2B5EF4-FFF2-40B4-BE49-F238E27FC236}">
                <a16:creationId xmlns:a16="http://schemas.microsoft.com/office/drawing/2014/main" id="{B2BA6AE4-FC00-414F-92EB-F3F5BBE264B3}"/>
              </a:ext>
            </a:extLst>
          </xdr:cNvPr>
          <xdr:cNvSpPr/>
        </xdr:nvSpPr>
        <xdr:spPr>
          <a:xfrm>
            <a:off x="14935200" y="2887980"/>
            <a:ext cx="1728999" cy="210280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mc:AlternateContent xmlns:mc="http://schemas.openxmlformats.org/markup-compatibility/2006">
        <mc:Choice xmlns:a14="http://schemas.microsoft.com/office/drawing/2010/main" Requires="a14">
          <xdr:graphicFrame macro="">
            <xdr:nvGraphicFramePr>
              <xdr:cNvPr id="355" name="Sales Channel 3">
                <a:extLst>
                  <a:ext uri="{FF2B5EF4-FFF2-40B4-BE49-F238E27FC236}">
                    <a16:creationId xmlns:a16="http://schemas.microsoft.com/office/drawing/2014/main" id="{A3A759E1-B625-4110-AB11-0D2FBDFE02BD}"/>
                  </a:ext>
                </a:extLst>
              </xdr:cNvPr>
              <xdr:cNvGraphicFramePr/>
            </xdr:nvGraphicFramePr>
            <xdr:xfrm>
              <a:off x="14927581" y="2918875"/>
              <a:ext cx="1737360" cy="2110739"/>
            </xdr:xfrm>
            <a:graphic>
              <a:graphicData uri="http://schemas.microsoft.com/office/drawing/2010/slicer">
                <sle:slicer xmlns:sle="http://schemas.microsoft.com/office/drawing/2010/slicer" name="Sales Channel 3"/>
              </a:graphicData>
            </a:graphic>
          </xdr:graphicFrame>
        </mc:Choice>
        <mc:Fallback>
          <xdr:sp macro="" textlink="">
            <xdr:nvSpPr>
              <xdr:cNvPr id="0" name=""/>
              <xdr:cNvSpPr>
                <a:spLocks noTextEdit="1"/>
              </xdr:cNvSpPr>
            </xdr:nvSpPr>
            <xdr:spPr>
              <a:xfrm>
                <a:off x="1" y="5309088"/>
                <a:ext cx="1798320" cy="142699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9</xdr:col>
      <xdr:colOff>91440</xdr:colOff>
      <xdr:row>0</xdr:row>
      <xdr:rowOff>30481</xdr:rowOff>
    </xdr:from>
    <xdr:to>
      <xdr:col>9</xdr:col>
      <xdr:colOff>535432</xdr:colOff>
      <xdr:row>2</xdr:row>
      <xdr:rowOff>99061</xdr:rowOff>
    </xdr:to>
    <xdr:grpSp>
      <xdr:nvGrpSpPr>
        <xdr:cNvPr id="553" name="Group 552">
          <a:extLst>
            <a:ext uri="{FF2B5EF4-FFF2-40B4-BE49-F238E27FC236}">
              <a16:creationId xmlns:a16="http://schemas.microsoft.com/office/drawing/2014/main" id="{A335AB27-3F0A-443C-A664-BA5D503CB952}"/>
            </a:ext>
          </a:extLst>
        </xdr:cNvPr>
        <xdr:cNvGrpSpPr/>
      </xdr:nvGrpSpPr>
      <xdr:grpSpPr>
        <a:xfrm>
          <a:off x="5577840" y="30481"/>
          <a:ext cx="443992" cy="434340"/>
          <a:chOff x="12801600" y="914400"/>
          <a:chExt cx="502920" cy="491987"/>
        </a:xfrm>
      </xdr:grpSpPr>
      <xdr:sp macro="" textlink="">
        <xdr:nvSpPr>
          <xdr:cNvPr id="554" name="Oval 553">
            <a:extLst>
              <a:ext uri="{FF2B5EF4-FFF2-40B4-BE49-F238E27FC236}">
                <a16:creationId xmlns:a16="http://schemas.microsoft.com/office/drawing/2014/main" id="{75DD5882-0E82-407E-9870-0D1592D73114}"/>
              </a:ext>
            </a:extLst>
          </xdr:cNvPr>
          <xdr:cNvSpPr/>
        </xdr:nvSpPr>
        <xdr:spPr>
          <a:xfrm>
            <a:off x="12801600" y="914400"/>
            <a:ext cx="502920" cy="491987"/>
          </a:xfrm>
          <a:prstGeom prst="ellipse">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rgbClr val="002060"/>
              </a:solidFill>
            </a:endParaRPr>
          </a:p>
        </xdr:txBody>
      </xdr:sp>
      <xdr:pic>
        <xdr:nvPicPr>
          <xdr:cNvPr id="555" name="Graphic 554" descr="Bar graph with upward trend">
            <a:extLst>
              <a:ext uri="{FF2B5EF4-FFF2-40B4-BE49-F238E27FC236}">
                <a16:creationId xmlns:a16="http://schemas.microsoft.com/office/drawing/2014/main" id="{55E111F2-3E38-45C1-922C-CAA7204D271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2883597" y="990089"/>
            <a:ext cx="327992" cy="308313"/>
          </a:xfrm>
          <a:prstGeom prst="rect">
            <a:avLst/>
          </a:prstGeom>
        </xdr:spPr>
      </xdr:pic>
    </xdr:grpSp>
    <xdr:clientData/>
  </xdr:twoCellAnchor>
  <xdr:twoCellAnchor>
    <xdr:from>
      <xdr:col>19</xdr:col>
      <xdr:colOff>548640</xdr:colOff>
      <xdr:row>3</xdr:row>
      <xdr:rowOff>76200</xdr:rowOff>
    </xdr:from>
    <xdr:to>
      <xdr:col>23</xdr:col>
      <xdr:colOff>434340</xdr:colOff>
      <xdr:row>36</xdr:row>
      <xdr:rowOff>152400</xdr:rowOff>
    </xdr:to>
    <xdr:sp macro="" textlink="">
      <xdr:nvSpPr>
        <xdr:cNvPr id="18" name="Rectangle: Rounded Corners 17">
          <a:extLst>
            <a:ext uri="{FF2B5EF4-FFF2-40B4-BE49-F238E27FC236}">
              <a16:creationId xmlns:a16="http://schemas.microsoft.com/office/drawing/2014/main" id="{1A066DBA-8F44-4A2D-9978-17C5D106F460}"/>
            </a:ext>
          </a:extLst>
        </xdr:cNvPr>
        <xdr:cNvSpPr/>
      </xdr:nvSpPr>
      <xdr:spPr>
        <a:xfrm>
          <a:off x="12131040" y="624840"/>
          <a:ext cx="2324100" cy="6111240"/>
        </a:xfrm>
        <a:prstGeom prst="roundRect">
          <a:avLst/>
        </a:prstGeom>
        <a:solidFill>
          <a:sysClr val="window" lastClr="FFFFFF"/>
        </a:solidFill>
        <a:ln>
          <a:no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7620</xdr:colOff>
      <xdr:row>8</xdr:row>
      <xdr:rowOff>161949</xdr:rowOff>
    </xdr:from>
    <xdr:to>
      <xdr:col>11</xdr:col>
      <xdr:colOff>266700</xdr:colOff>
      <xdr:row>23</xdr:row>
      <xdr:rowOff>45483</xdr:rowOff>
    </xdr:to>
    <xdr:grpSp>
      <xdr:nvGrpSpPr>
        <xdr:cNvPr id="556" name="Group 555">
          <a:extLst>
            <a:ext uri="{FF2B5EF4-FFF2-40B4-BE49-F238E27FC236}">
              <a16:creationId xmlns:a16="http://schemas.microsoft.com/office/drawing/2014/main" id="{AB7C9611-6BD4-464E-9D79-D0139C98FDA1}"/>
            </a:ext>
          </a:extLst>
        </xdr:cNvPr>
        <xdr:cNvGrpSpPr/>
      </xdr:nvGrpSpPr>
      <xdr:grpSpPr>
        <a:xfrm>
          <a:off x="1836420" y="1624989"/>
          <a:ext cx="5135880" cy="2626734"/>
          <a:chOff x="1825762" y="1808018"/>
          <a:chExt cx="3569808" cy="3138055"/>
        </a:xfrm>
      </xdr:grpSpPr>
      <xdr:sp macro="" textlink="">
        <xdr:nvSpPr>
          <xdr:cNvPr id="557" name="Rectangle 556">
            <a:extLst>
              <a:ext uri="{FF2B5EF4-FFF2-40B4-BE49-F238E27FC236}">
                <a16:creationId xmlns:a16="http://schemas.microsoft.com/office/drawing/2014/main" id="{915081AF-A591-445D-82F3-2C5E7C2EB977}"/>
              </a:ext>
            </a:extLst>
          </xdr:cNvPr>
          <xdr:cNvSpPr/>
        </xdr:nvSpPr>
        <xdr:spPr>
          <a:xfrm>
            <a:off x="1825762" y="1808018"/>
            <a:ext cx="3569808" cy="3124200"/>
          </a:xfrm>
          <a:prstGeom prst="rect">
            <a:avLst/>
          </a:prstGeom>
          <a:solidFill>
            <a:schemeClr val="bg1"/>
          </a:solidFill>
          <a:ln>
            <a:noFill/>
          </a:ln>
          <a:effectLst>
            <a:reflection blurRad="6350" stA="52000" endA="300" endPos="3500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aphicFrame macro="">
        <xdr:nvGraphicFramePr>
          <xdr:cNvPr id="558" name=" month Chart">
            <a:extLst>
              <a:ext uri="{FF2B5EF4-FFF2-40B4-BE49-F238E27FC236}">
                <a16:creationId xmlns:a16="http://schemas.microsoft.com/office/drawing/2014/main" id="{BA6F587D-1CEE-4191-ADBE-49D9849693B6}"/>
              </a:ext>
            </a:extLst>
          </xdr:cNvPr>
          <xdr:cNvGraphicFramePr>
            <a:graphicFrameLocks/>
          </xdr:cNvGraphicFramePr>
        </xdr:nvGraphicFramePr>
        <xdr:xfrm>
          <a:off x="1838641" y="1808018"/>
          <a:ext cx="3549802" cy="3138055"/>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14</xdr:col>
      <xdr:colOff>289590</xdr:colOff>
      <xdr:row>7</xdr:row>
      <xdr:rowOff>7620</xdr:rowOff>
    </xdr:from>
    <xdr:to>
      <xdr:col>14</xdr:col>
      <xdr:colOff>336390</xdr:colOff>
      <xdr:row>7</xdr:row>
      <xdr:rowOff>72420</xdr:rowOff>
    </xdr:to>
    <xdr:sp macro="" textlink="">
      <xdr:nvSpPr>
        <xdr:cNvPr id="101" name="Arrow: Up 100">
          <a:extLst>
            <a:ext uri="{FF2B5EF4-FFF2-40B4-BE49-F238E27FC236}">
              <a16:creationId xmlns:a16="http://schemas.microsoft.com/office/drawing/2014/main" id="{27CBF7EB-797F-4FFC-A85C-82CEA4CCA016}"/>
            </a:ext>
          </a:extLst>
        </xdr:cNvPr>
        <xdr:cNvSpPr/>
      </xdr:nvSpPr>
      <xdr:spPr>
        <a:xfrm flipH="1">
          <a:off x="8823990" y="1287780"/>
          <a:ext cx="46800" cy="64800"/>
        </a:xfrm>
        <a:prstGeom prst="upArrow">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17</xdr:col>
      <xdr:colOff>586740</xdr:colOff>
      <xdr:row>7</xdr:row>
      <xdr:rowOff>30480</xdr:rowOff>
    </xdr:from>
    <xdr:to>
      <xdr:col>18</xdr:col>
      <xdr:colOff>16740</xdr:colOff>
      <xdr:row>7</xdr:row>
      <xdr:rowOff>91680</xdr:rowOff>
    </xdr:to>
    <xdr:sp macro="" textlink="">
      <xdr:nvSpPr>
        <xdr:cNvPr id="102" name="Arrow: Up 101">
          <a:extLst>
            <a:ext uri="{FF2B5EF4-FFF2-40B4-BE49-F238E27FC236}">
              <a16:creationId xmlns:a16="http://schemas.microsoft.com/office/drawing/2014/main" id="{64C9BDD1-9590-4CF8-992C-92DAED8178F1}"/>
            </a:ext>
          </a:extLst>
        </xdr:cNvPr>
        <xdr:cNvSpPr/>
      </xdr:nvSpPr>
      <xdr:spPr>
        <a:xfrm flipH="1">
          <a:off x="10949940" y="1310640"/>
          <a:ext cx="39600" cy="61200"/>
        </a:xfrm>
        <a:prstGeom prst="upArrow">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xdr:colOff>
      <xdr:row>1</xdr:row>
      <xdr:rowOff>152400</xdr:rowOff>
    </xdr:from>
    <xdr:to>
      <xdr:col>2</xdr:col>
      <xdr:colOff>571500</xdr:colOff>
      <xdr:row>8</xdr:row>
      <xdr:rowOff>15240</xdr:rowOff>
    </xdr:to>
    <xdr:grpSp>
      <xdr:nvGrpSpPr>
        <xdr:cNvPr id="11" name="Group 10">
          <a:extLst>
            <a:ext uri="{FF2B5EF4-FFF2-40B4-BE49-F238E27FC236}">
              <a16:creationId xmlns:a16="http://schemas.microsoft.com/office/drawing/2014/main" id="{56275445-8067-4D6E-8107-C9DB04A24C5D}"/>
            </a:ext>
          </a:extLst>
        </xdr:cNvPr>
        <xdr:cNvGrpSpPr/>
      </xdr:nvGrpSpPr>
      <xdr:grpSpPr>
        <a:xfrm>
          <a:off x="2" y="335280"/>
          <a:ext cx="1790698" cy="1143000"/>
          <a:chOff x="12077700" y="-7620"/>
          <a:chExt cx="2156460" cy="1073959"/>
        </a:xfrm>
      </xdr:grpSpPr>
      <xdr:sp macro="" textlink="">
        <xdr:nvSpPr>
          <xdr:cNvPr id="106" name="Rectangle 105">
            <a:extLst>
              <a:ext uri="{FF2B5EF4-FFF2-40B4-BE49-F238E27FC236}">
                <a16:creationId xmlns:a16="http://schemas.microsoft.com/office/drawing/2014/main" id="{4F61C023-E855-4A29-82AE-AB338056E206}"/>
              </a:ext>
            </a:extLst>
          </xdr:cNvPr>
          <xdr:cNvSpPr/>
        </xdr:nvSpPr>
        <xdr:spPr>
          <a:xfrm>
            <a:off x="12108180" y="0"/>
            <a:ext cx="2125980" cy="105918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mc:AlternateContent xmlns:mc="http://schemas.openxmlformats.org/markup-compatibility/2006" xmlns:tsle="http://schemas.microsoft.com/office/drawing/2012/timeslicer">
        <mc:Choice Requires="tsle">
          <xdr:graphicFrame macro="">
            <xdr:nvGraphicFramePr>
              <xdr:cNvPr id="107" name="OrderDate 7">
                <a:extLst>
                  <a:ext uri="{FF2B5EF4-FFF2-40B4-BE49-F238E27FC236}">
                    <a16:creationId xmlns:a16="http://schemas.microsoft.com/office/drawing/2014/main" id="{D745A328-F443-494B-8BFB-83DA32189B1A}"/>
                  </a:ext>
                </a:extLst>
              </xdr:cNvPr>
              <xdr:cNvGraphicFramePr/>
            </xdr:nvGraphicFramePr>
            <xdr:xfrm>
              <a:off x="12077700" y="-7620"/>
              <a:ext cx="2156460" cy="1073959"/>
            </xdr:xfrm>
            <a:graphic>
              <a:graphicData uri="http://schemas.microsoft.com/office/drawing/2012/timeslicer">
                <tsle:timeslicer name="OrderDate 7"/>
              </a:graphicData>
            </a:graphic>
          </xdr:graphicFrame>
        </mc:Choice>
        <mc:Fallback xmlns="">
          <xdr:sp macro="" textlink="">
            <xdr:nvSpPr>
              <xdr:cNvPr id="0" name=""/>
              <xdr:cNvSpPr>
                <a:spLocks noTextEdit="1"/>
              </xdr:cNvSpPr>
            </xdr:nvSpPr>
            <xdr:spPr>
              <a:xfrm>
                <a:off x="2" y="335280"/>
                <a:ext cx="1790698" cy="1143000"/>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grpSp>
    <xdr:clientData/>
  </xdr:twoCellAnchor>
  <xdr:twoCellAnchor>
    <xdr:from>
      <xdr:col>20</xdr:col>
      <xdr:colOff>76200</xdr:colOff>
      <xdr:row>3</xdr:row>
      <xdr:rowOff>175260</xdr:rowOff>
    </xdr:from>
    <xdr:to>
      <xdr:col>23</xdr:col>
      <xdr:colOff>236220</xdr:colOff>
      <xdr:row>8</xdr:row>
      <xdr:rowOff>91440</xdr:rowOff>
    </xdr:to>
    <xdr:grpSp>
      <xdr:nvGrpSpPr>
        <xdr:cNvPr id="29" name="Group 28">
          <a:extLst>
            <a:ext uri="{FF2B5EF4-FFF2-40B4-BE49-F238E27FC236}">
              <a16:creationId xmlns:a16="http://schemas.microsoft.com/office/drawing/2014/main" id="{CCE6300F-B321-4D34-BE71-D2CDE434109D}"/>
            </a:ext>
          </a:extLst>
        </xdr:cNvPr>
        <xdr:cNvGrpSpPr/>
      </xdr:nvGrpSpPr>
      <xdr:grpSpPr>
        <a:xfrm>
          <a:off x="12268200" y="723900"/>
          <a:ext cx="1988820" cy="830580"/>
          <a:chOff x="12268200" y="723900"/>
          <a:chExt cx="1988820" cy="830580"/>
        </a:xfrm>
      </xdr:grpSpPr>
      <xdr:sp macro="" textlink="">
        <xdr:nvSpPr>
          <xdr:cNvPr id="22" name="Rectangle: Rounded Corners 21">
            <a:extLst>
              <a:ext uri="{FF2B5EF4-FFF2-40B4-BE49-F238E27FC236}">
                <a16:creationId xmlns:a16="http://schemas.microsoft.com/office/drawing/2014/main" id="{EDABAA2B-724A-44A6-B272-347FE2C29EB1}"/>
              </a:ext>
            </a:extLst>
          </xdr:cNvPr>
          <xdr:cNvSpPr/>
        </xdr:nvSpPr>
        <xdr:spPr>
          <a:xfrm>
            <a:off x="12268200" y="723900"/>
            <a:ext cx="1988820" cy="403860"/>
          </a:xfrm>
          <a:prstGeom prst="round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200" b="1"/>
              <a:t>QUICK</a:t>
            </a:r>
            <a:r>
              <a:rPr lang="en-GB" sz="1200" b="1" baseline="0"/>
              <a:t> INSIGHTS</a:t>
            </a:r>
            <a:endParaRPr lang="en-NG" sz="1200" b="1"/>
          </a:p>
        </xdr:txBody>
      </xdr:sp>
      <xdr:pic>
        <xdr:nvPicPr>
          <xdr:cNvPr id="113" name="Graphic 112" descr="Lightbulb">
            <a:extLst>
              <a:ext uri="{FF2B5EF4-FFF2-40B4-BE49-F238E27FC236}">
                <a16:creationId xmlns:a16="http://schemas.microsoft.com/office/drawing/2014/main" id="{03CFF646-7E67-46F7-AD27-D8119DDEE95B}"/>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2527280" y="1242060"/>
            <a:ext cx="312420" cy="312420"/>
          </a:xfrm>
          <a:prstGeom prst="rect">
            <a:avLst/>
          </a:prstGeom>
        </xdr:spPr>
      </xdr:pic>
    </xdr:grpSp>
    <xdr:clientData/>
  </xdr:twoCellAnchor>
  <xdr:twoCellAnchor>
    <xdr:from>
      <xdr:col>19</xdr:col>
      <xdr:colOff>541020</xdr:colOff>
      <xdr:row>6</xdr:row>
      <xdr:rowOff>53340</xdr:rowOff>
    </xdr:from>
    <xdr:to>
      <xdr:col>23</xdr:col>
      <xdr:colOff>480060</xdr:colOff>
      <xdr:row>20</xdr:row>
      <xdr:rowOff>121920</xdr:rowOff>
    </xdr:to>
    <xdr:sp macro="" textlink="">
      <xdr:nvSpPr>
        <xdr:cNvPr id="23" name="TextBox 22">
          <a:extLst>
            <a:ext uri="{FF2B5EF4-FFF2-40B4-BE49-F238E27FC236}">
              <a16:creationId xmlns:a16="http://schemas.microsoft.com/office/drawing/2014/main" id="{E8FE17C0-60D1-4117-B3EF-280AC23B58A5}"/>
            </a:ext>
          </a:extLst>
        </xdr:cNvPr>
        <xdr:cNvSpPr txBox="1"/>
      </xdr:nvSpPr>
      <xdr:spPr>
        <a:xfrm>
          <a:off x="12123420" y="1150620"/>
          <a:ext cx="2377440" cy="2628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GB" sz="1000" b="0" baseline="0">
              <a:solidFill>
                <a:schemeClr val="dk1"/>
              </a:solidFill>
              <a:effectLst/>
              <a:latin typeface="+mn-lt"/>
              <a:ea typeface="+mn-ea"/>
              <a:cs typeface="+mn-cs"/>
            </a:rPr>
            <a:t>     </a:t>
          </a:r>
          <a:r>
            <a:rPr lang="en-GB" sz="1000" b="1">
              <a:solidFill>
                <a:schemeClr val="dk1"/>
              </a:solidFill>
              <a:effectLst/>
              <a:latin typeface="+mn-lt"/>
              <a:ea typeface="+mn-ea"/>
              <a:cs typeface="+mn-cs"/>
            </a:rPr>
            <a:t> </a:t>
          </a:r>
          <a:r>
            <a:rPr lang="en-NG" sz="1000" b="1">
              <a:solidFill>
                <a:srgbClr val="000E64"/>
              </a:solidFill>
              <a:effectLst/>
              <a:latin typeface="+mn-lt"/>
              <a:ea typeface="+mn-ea"/>
              <a:cs typeface="+mn-cs"/>
            </a:rPr>
            <a:t>Home Appliances </a:t>
          </a:r>
          <a:r>
            <a:rPr lang="en-GB" sz="1000" b="0" baseline="0">
              <a:solidFill>
                <a:schemeClr val="tx1"/>
              </a:solidFill>
              <a:effectLst/>
              <a:latin typeface="+mn-lt"/>
              <a:ea typeface="+mn-ea"/>
              <a:cs typeface="+mn-cs"/>
            </a:rPr>
            <a:t>is the top</a:t>
          </a:r>
          <a:r>
            <a:rPr lang="en-NG" sz="1000" b="0">
              <a:solidFill>
                <a:schemeClr val="tx1"/>
              </a:solidFill>
              <a:effectLst/>
              <a:latin typeface="+mn-lt"/>
              <a:ea typeface="+mn-ea"/>
              <a:cs typeface="+mn-cs"/>
            </a:rPr>
            <a:t> </a:t>
          </a:r>
          <a:r>
            <a:rPr lang="en-NG" sz="1000">
              <a:solidFill>
                <a:schemeClr val="dk1"/>
              </a:solidFill>
              <a:effectLst/>
              <a:latin typeface="+mn-lt"/>
              <a:ea typeface="+mn-ea"/>
              <a:cs typeface="+mn-cs"/>
            </a:rPr>
            <a:t>category </a:t>
          </a:r>
          <a:endParaRPr lang="en-GB" sz="10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a:solidFill>
                <a:schemeClr val="dk1"/>
              </a:solidFill>
              <a:effectLst/>
              <a:latin typeface="+mn-lt"/>
              <a:ea typeface="+mn-ea"/>
              <a:cs typeface="+mn-cs"/>
            </a:rPr>
            <a:t>       </a:t>
          </a:r>
          <a:r>
            <a:rPr lang="en-NG" sz="1000">
              <a:solidFill>
                <a:schemeClr val="dk1"/>
              </a:solidFill>
              <a:effectLst/>
              <a:latin typeface="+mn-lt"/>
              <a:ea typeface="+mn-ea"/>
              <a:cs typeface="+mn-cs"/>
            </a:rPr>
            <a:t>at ₦30</a:t>
          </a:r>
          <a:r>
            <a:rPr lang="en-GB" sz="1000">
              <a:solidFill>
                <a:schemeClr val="dk1"/>
              </a:solidFill>
              <a:effectLst/>
              <a:latin typeface="+mn-lt"/>
              <a:ea typeface="+mn-ea"/>
              <a:cs typeface="+mn-cs"/>
            </a:rPr>
            <a:t>7</a:t>
          </a:r>
          <a:r>
            <a:rPr lang="en-NG" sz="1000">
              <a:solidFill>
                <a:schemeClr val="dk1"/>
              </a:solidFill>
              <a:effectLst/>
              <a:latin typeface="+mn-lt"/>
              <a:ea typeface="+mn-ea"/>
              <a:cs typeface="+mn-cs"/>
            </a:rPr>
            <a:t>K.</a:t>
          </a:r>
          <a:endParaRPr lang="en-NG" sz="1000">
            <a:effectLst/>
          </a:endParaRPr>
        </a:p>
        <a:p>
          <a:pPr lvl="0"/>
          <a:r>
            <a:rPr lang="en-GB" sz="1000">
              <a:solidFill>
                <a:schemeClr val="dk1"/>
              </a:solidFill>
              <a:effectLst/>
              <a:latin typeface="+mn-lt"/>
              <a:ea typeface="+mn-ea"/>
              <a:cs typeface="+mn-cs"/>
            </a:rPr>
            <a:t>      </a:t>
          </a:r>
        </a:p>
        <a:p>
          <a:pPr lvl="0"/>
          <a:r>
            <a:rPr lang="en-GB" sz="1000" b="1" baseline="0">
              <a:solidFill>
                <a:schemeClr val="dk1"/>
              </a:solidFill>
              <a:effectLst/>
              <a:latin typeface="+mn-lt"/>
              <a:ea typeface="+mn-ea"/>
              <a:cs typeface="+mn-cs"/>
            </a:rPr>
            <a:t>      </a:t>
          </a:r>
          <a:r>
            <a:rPr lang="en-NG" sz="1000" b="1">
              <a:solidFill>
                <a:srgbClr val="000E64"/>
              </a:solidFill>
              <a:effectLst/>
              <a:latin typeface="+mn-lt"/>
              <a:ea typeface="+mn-ea"/>
              <a:cs typeface="+mn-cs"/>
            </a:rPr>
            <a:t>South West</a:t>
          </a:r>
          <a:r>
            <a:rPr lang="en-NG" sz="1000" b="1">
              <a:solidFill>
                <a:schemeClr val="tx1"/>
              </a:solidFill>
              <a:effectLst/>
              <a:latin typeface="+mn-lt"/>
              <a:ea typeface="+mn-ea"/>
              <a:cs typeface="+mn-cs"/>
            </a:rPr>
            <a:t> </a:t>
          </a:r>
          <a:r>
            <a:rPr lang="en-GB" sz="1000" b="0">
              <a:solidFill>
                <a:schemeClr val="tx1"/>
              </a:solidFill>
              <a:effectLst/>
              <a:latin typeface="+mn-lt"/>
              <a:ea typeface="+mn-ea"/>
              <a:cs typeface="+mn-cs"/>
            </a:rPr>
            <a:t>is</a:t>
          </a:r>
          <a:r>
            <a:rPr lang="en-GB" sz="1000" b="0" baseline="0">
              <a:solidFill>
                <a:schemeClr val="tx1"/>
              </a:solidFill>
              <a:effectLst/>
              <a:latin typeface="+mn-lt"/>
              <a:ea typeface="+mn-ea"/>
              <a:cs typeface="+mn-cs"/>
            </a:rPr>
            <a:t> the top </a:t>
          </a:r>
          <a:r>
            <a:rPr lang="en-NG" sz="1000">
              <a:solidFill>
                <a:schemeClr val="dk1"/>
              </a:solidFill>
              <a:effectLst/>
              <a:latin typeface="+mn-lt"/>
              <a:ea typeface="+mn-ea"/>
              <a:cs typeface="+mn-cs"/>
            </a:rPr>
            <a:t>region</a:t>
          </a:r>
          <a:r>
            <a:rPr lang="en-GB" sz="1000" baseline="0">
              <a:solidFill>
                <a:schemeClr val="dk1"/>
              </a:solidFill>
              <a:effectLst/>
              <a:latin typeface="+mn-lt"/>
              <a:ea typeface="+mn-ea"/>
              <a:cs typeface="+mn-cs"/>
            </a:rPr>
            <a:t> at</a:t>
          </a:r>
          <a:r>
            <a:rPr lang="en-NG" sz="1000">
              <a:solidFill>
                <a:schemeClr val="dk1"/>
              </a:solidFill>
              <a:effectLst/>
              <a:latin typeface="+mn-lt"/>
              <a:ea typeface="+mn-ea"/>
              <a:cs typeface="+mn-cs"/>
            </a:rPr>
            <a:t> ₦5</a:t>
          </a:r>
          <a:r>
            <a:rPr lang="en-GB" sz="1000">
              <a:solidFill>
                <a:schemeClr val="dk1"/>
              </a:solidFill>
              <a:effectLst/>
              <a:latin typeface="+mn-lt"/>
              <a:ea typeface="+mn-ea"/>
              <a:cs typeface="+mn-cs"/>
            </a:rPr>
            <a:t>57</a:t>
          </a:r>
          <a:r>
            <a:rPr lang="en-NG" sz="1000">
              <a:solidFill>
                <a:schemeClr val="dk1"/>
              </a:solidFill>
              <a:effectLst/>
              <a:latin typeface="+mn-lt"/>
              <a:ea typeface="+mn-ea"/>
              <a:cs typeface="+mn-cs"/>
            </a:rPr>
            <a:t>K</a:t>
          </a:r>
          <a:r>
            <a:rPr lang="en-GB" sz="1000">
              <a:solidFill>
                <a:schemeClr val="dk1"/>
              </a:solidFill>
              <a:effectLst/>
              <a:latin typeface="+mn-lt"/>
              <a:ea typeface="+mn-ea"/>
              <a:cs typeface="+mn-cs"/>
            </a:rPr>
            <a:t>, </a:t>
          </a:r>
        </a:p>
        <a:p>
          <a:pPr lvl="0"/>
          <a:r>
            <a:rPr lang="en-GB" sz="1000" baseline="0">
              <a:solidFill>
                <a:schemeClr val="dk1"/>
              </a:solidFill>
              <a:effectLst/>
              <a:latin typeface="+mn-lt"/>
              <a:ea typeface="+mn-ea"/>
              <a:cs typeface="+mn-cs"/>
            </a:rPr>
            <a:t>       37%  of Revenue.</a:t>
          </a:r>
        </a:p>
        <a:p>
          <a:pPr lvl="0"/>
          <a:endParaRPr lang="en-GB" sz="1000" baseline="0">
            <a:solidFill>
              <a:schemeClr val="dk1"/>
            </a:solidFill>
            <a:effectLst/>
            <a:latin typeface="+mn-lt"/>
            <a:ea typeface="+mn-ea"/>
            <a:cs typeface="+mn-cs"/>
          </a:endParaRPr>
        </a:p>
        <a:p>
          <a:pPr lvl="0"/>
          <a:r>
            <a:rPr lang="en-GB" sz="1000">
              <a:solidFill>
                <a:schemeClr val="dk1"/>
              </a:solidFill>
              <a:effectLst/>
              <a:latin typeface="+mn-lt"/>
              <a:ea typeface="+mn-ea"/>
              <a:cs typeface="+mn-cs"/>
            </a:rPr>
            <a:t>       </a:t>
          </a:r>
          <a:r>
            <a:rPr lang="en-GB" sz="1000">
              <a:solidFill>
                <a:schemeClr val="tx2">
                  <a:lumMod val="75000"/>
                </a:schemeClr>
              </a:solidFill>
              <a:effectLst/>
              <a:latin typeface="+mn-lt"/>
              <a:ea typeface="+mn-ea"/>
              <a:cs typeface="+mn-cs"/>
            </a:rPr>
            <a:t>North West </a:t>
          </a:r>
          <a:r>
            <a:rPr lang="en-GB" sz="1000">
              <a:solidFill>
                <a:schemeClr val="dk1"/>
              </a:solidFill>
              <a:effectLst/>
              <a:latin typeface="+mn-lt"/>
              <a:ea typeface="+mn-ea"/>
              <a:cs typeface="+mn-cs"/>
            </a:rPr>
            <a:t>is the weakest region at </a:t>
          </a:r>
        </a:p>
        <a:p>
          <a:pPr marL="0" marR="0" lvl="0" indent="0" defTabSz="914400" eaLnBrk="1" fontAlgn="auto" latinLnBrk="0" hangingPunct="1">
            <a:lnSpc>
              <a:spcPct val="100000"/>
            </a:lnSpc>
            <a:spcBef>
              <a:spcPts val="0"/>
            </a:spcBef>
            <a:spcAft>
              <a:spcPts val="0"/>
            </a:spcAft>
            <a:buClrTx/>
            <a:buSzTx/>
            <a:buFontTx/>
            <a:buNone/>
            <a:tabLst/>
            <a:defRPr/>
          </a:pPr>
          <a:r>
            <a:rPr lang="en-GB" sz="1000">
              <a:solidFill>
                <a:schemeClr val="dk1"/>
              </a:solidFill>
              <a:effectLst/>
              <a:latin typeface="+mn-lt"/>
              <a:ea typeface="+mn-ea"/>
              <a:cs typeface="+mn-cs"/>
            </a:rPr>
            <a:t>        </a:t>
          </a:r>
          <a:r>
            <a:rPr lang="en-NG" sz="1100">
              <a:solidFill>
                <a:schemeClr val="dk1"/>
              </a:solidFill>
              <a:effectLst/>
              <a:latin typeface="+mn-lt"/>
              <a:ea typeface="+mn-ea"/>
              <a:cs typeface="+mn-cs"/>
            </a:rPr>
            <a:t>₦</a:t>
          </a:r>
          <a:r>
            <a:rPr lang="en-GB" sz="1100">
              <a:solidFill>
                <a:schemeClr val="dk1"/>
              </a:solidFill>
              <a:effectLst/>
              <a:latin typeface="+mn-lt"/>
              <a:ea typeface="+mn-ea"/>
              <a:cs typeface="+mn-cs"/>
            </a:rPr>
            <a:t>193K.</a:t>
          </a:r>
          <a:endParaRPr lang="en-NG" sz="100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000">
            <a:solidFill>
              <a:schemeClr val="dk1"/>
            </a:solidFill>
            <a:effectLst/>
            <a:latin typeface="+mn-lt"/>
            <a:ea typeface="+mn-ea"/>
            <a:cs typeface="+mn-cs"/>
          </a:endParaRPr>
        </a:p>
        <a:p>
          <a:pPr lvl="0"/>
          <a:r>
            <a:rPr lang="en-GB" sz="1000">
              <a:solidFill>
                <a:schemeClr val="dk1"/>
              </a:solidFill>
              <a:effectLst/>
              <a:latin typeface="+mn-lt"/>
              <a:ea typeface="+mn-ea"/>
              <a:cs typeface="+mn-cs"/>
            </a:rPr>
            <a:t> </a:t>
          </a:r>
          <a:r>
            <a:rPr lang="en-GB" sz="1000" baseline="0">
              <a:solidFill>
                <a:schemeClr val="dk1"/>
              </a:solidFill>
              <a:effectLst/>
              <a:latin typeface="+mn-lt"/>
              <a:ea typeface="+mn-ea"/>
              <a:cs typeface="+mn-cs"/>
            </a:rPr>
            <a:t>     </a:t>
          </a:r>
          <a:r>
            <a:rPr lang="en-GB" sz="1000" b="1">
              <a:solidFill>
                <a:srgbClr val="000E64"/>
              </a:solidFill>
              <a:effectLst/>
              <a:latin typeface="+mn-lt"/>
              <a:ea typeface="+mn-ea"/>
              <a:cs typeface="+mn-cs"/>
            </a:rPr>
            <a:t>Revenue</a:t>
          </a:r>
          <a:r>
            <a:rPr lang="en-GB" sz="1000" b="1" baseline="0">
              <a:solidFill>
                <a:schemeClr val="tx2">
                  <a:lumMod val="75000"/>
                </a:schemeClr>
              </a:solidFill>
              <a:effectLst/>
              <a:latin typeface="+mn-lt"/>
              <a:ea typeface="+mn-ea"/>
              <a:cs typeface="+mn-cs"/>
            </a:rPr>
            <a:t> Grew </a:t>
          </a:r>
          <a:r>
            <a:rPr lang="en-GB" sz="1000" baseline="0">
              <a:solidFill>
                <a:schemeClr val="dk1"/>
              </a:solidFill>
              <a:effectLst/>
              <a:latin typeface="+mn-lt"/>
              <a:ea typeface="+mn-ea"/>
              <a:cs typeface="+mn-cs"/>
            </a:rPr>
            <a:t>18% in 2025, to </a:t>
          </a:r>
          <a:r>
            <a:rPr lang="en-NG" sz="1100" b="0">
              <a:solidFill>
                <a:schemeClr val="dk1"/>
              </a:solidFill>
              <a:effectLst/>
              <a:latin typeface="+mn-lt"/>
              <a:ea typeface="+mn-ea"/>
              <a:cs typeface="+mn-cs"/>
            </a:rPr>
            <a:t> ₦</a:t>
          </a:r>
          <a:r>
            <a:rPr lang="en-GB" sz="1000" baseline="0">
              <a:solidFill>
                <a:schemeClr val="dk1"/>
              </a:solidFill>
              <a:effectLst/>
              <a:latin typeface="+mn-lt"/>
              <a:ea typeface="+mn-ea"/>
              <a:cs typeface="+mn-cs"/>
            </a:rPr>
            <a:t>824K</a:t>
          </a:r>
        </a:p>
        <a:p>
          <a:pPr lvl="0"/>
          <a:endParaRPr lang="en-GB" sz="1000" baseline="0">
            <a:solidFill>
              <a:schemeClr val="dk1"/>
            </a:solidFill>
            <a:effectLst/>
            <a:latin typeface="+mn-lt"/>
            <a:ea typeface="+mn-ea"/>
            <a:cs typeface="+mn-cs"/>
          </a:endParaRPr>
        </a:p>
        <a:p>
          <a:pPr lvl="0"/>
          <a:r>
            <a:rPr lang="en-GB" sz="1000" baseline="0">
              <a:solidFill>
                <a:schemeClr val="dk1"/>
              </a:solidFill>
              <a:effectLst/>
              <a:latin typeface="+mn-lt"/>
              <a:ea typeface="+mn-ea"/>
              <a:cs typeface="+mn-cs"/>
            </a:rPr>
            <a:t>      </a:t>
          </a:r>
          <a:r>
            <a:rPr lang="en-NG" sz="1100" b="1">
              <a:solidFill>
                <a:schemeClr val="tx2">
                  <a:lumMod val="75000"/>
                </a:schemeClr>
              </a:solidFill>
              <a:effectLst/>
              <a:latin typeface="+mn-lt"/>
              <a:ea typeface="+mn-ea"/>
              <a:cs typeface="+mn-cs"/>
            </a:rPr>
            <a:t>Gaming</a:t>
          </a:r>
          <a:r>
            <a:rPr lang="en-NG" sz="1100" b="1">
              <a:solidFill>
                <a:schemeClr val="dk1"/>
              </a:solidFill>
              <a:effectLst/>
              <a:latin typeface="+mn-lt"/>
              <a:ea typeface="+mn-ea"/>
              <a:cs typeface="+mn-cs"/>
            </a:rPr>
            <a:t> </a:t>
          </a:r>
          <a:r>
            <a:rPr lang="en-NG" sz="1100" b="0">
              <a:solidFill>
                <a:schemeClr val="dk1"/>
              </a:solidFill>
              <a:effectLst/>
              <a:latin typeface="+mn-lt"/>
              <a:ea typeface="+mn-ea"/>
              <a:cs typeface="+mn-cs"/>
            </a:rPr>
            <a:t>is the weakest category </a:t>
          </a:r>
          <a:r>
            <a:rPr lang="en-GB" sz="1100" b="0">
              <a:solidFill>
                <a:schemeClr val="dk1"/>
              </a:solidFill>
              <a:effectLst/>
              <a:latin typeface="+mn-lt"/>
              <a:ea typeface="+mn-ea"/>
              <a:cs typeface="+mn-cs"/>
            </a:rPr>
            <a:t> </a:t>
          </a:r>
          <a:r>
            <a:rPr lang="en-NG" sz="1100" b="0">
              <a:solidFill>
                <a:schemeClr val="dk1"/>
              </a:solidFill>
              <a:effectLst/>
              <a:latin typeface="+mn-lt"/>
              <a:ea typeface="+mn-ea"/>
              <a:cs typeface="+mn-cs"/>
            </a:rPr>
            <a:t> </a:t>
          </a:r>
          <a:endParaRPr lang="en-NG" sz="1000">
            <a:effectLst/>
          </a:endParaRPr>
        </a:p>
        <a:p>
          <a:pPr eaLnBrk="1" fontAlgn="auto" latinLnBrk="0" hangingPunct="1"/>
          <a:r>
            <a:rPr lang="en-GB" sz="1100" b="0" baseline="0">
              <a:solidFill>
                <a:schemeClr val="dk1"/>
              </a:solidFill>
              <a:effectLst/>
              <a:latin typeface="+mn-lt"/>
              <a:ea typeface="+mn-ea"/>
              <a:cs typeface="+mn-cs"/>
            </a:rPr>
            <a:t>        </a:t>
          </a:r>
          <a:r>
            <a:rPr lang="en-NG" sz="1100" b="0">
              <a:solidFill>
                <a:schemeClr val="dk1"/>
              </a:solidFill>
              <a:effectLst/>
              <a:latin typeface="+mn-lt"/>
              <a:ea typeface="+mn-ea"/>
              <a:cs typeface="+mn-cs"/>
            </a:rPr>
            <a:t>at ₦185K</a:t>
          </a:r>
          <a:r>
            <a:rPr lang="en-GB" sz="1100" b="0">
              <a:solidFill>
                <a:schemeClr val="dk1"/>
              </a:solidFill>
              <a:effectLst/>
              <a:latin typeface="+mn-lt"/>
              <a:ea typeface="+mn-ea"/>
              <a:cs typeface="+mn-cs"/>
            </a:rPr>
            <a:t>.</a:t>
          </a:r>
          <a:endParaRPr lang="en-NG" sz="1000">
            <a:effectLst/>
          </a:endParaRPr>
        </a:p>
        <a:p>
          <a:pPr lvl="0"/>
          <a:endParaRPr lang="en-GB" sz="1000" baseline="0">
            <a:solidFill>
              <a:schemeClr val="dk1"/>
            </a:solidFill>
            <a:effectLst/>
            <a:latin typeface="+mn-lt"/>
            <a:ea typeface="+mn-ea"/>
            <a:cs typeface="+mn-cs"/>
          </a:endParaRPr>
        </a:p>
        <a:p>
          <a:pPr lvl="0"/>
          <a:endParaRPr lang="en-GB" sz="1000" baseline="0">
            <a:solidFill>
              <a:schemeClr val="dk1"/>
            </a:solidFill>
            <a:effectLst/>
            <a:latin typeface="+mn-lt"/>
            <a:ea typeface="+mn-ea"/>
            <a:cs typeface="+mn-cs"/>
          </a:endParaRPr>
        </a:p>
        <a:p>
          <a:pPr lvl="0"/>
          <a:r>
            <a:rPr lang="en-GB" sz="1000" baseline="0">
              <a:solidFill>
                <a:schemeClr val="dk1"/>
              </a:solidFill>
              <a:effectLst/>
              <a:latin typeface="+mn-lt"/>
              <a:ea typeface="+mn-ea"/>
              <a:cs typeface="+mn-cs"/>
            </a:rPr>
            <a:t>        </a:t>
          </a:r>
          <a:endParaRPr lang="en-NG" sz="1100">
            <a:solidFill>
              <a:schemeClr val="dk1"/>
            </a:solidFill>
            <a:effectLst/>
            <a:latin typeface="+mn-lt"/>
            <a:ea typeface="+mn-ea"/>
            <a:cs typeface="+mn-cs"/>
          </a:endParaRPr>
        </a:p>
      </xdr:txBody>
    </xdr:sp>
    <xdr:clientData/>
  </xdr:twoCellAnchor>
  <xdr:twoCellAnchor>
    <xdr:from>
      <xdr:col>19</xdr:col>
      <xdr:colOff>586740</xdr:colOff>
      <xdr:row>23</xdr:row>
      <xdr:rowOff>53340</xdr:rowOff>
    </xdr:from>
    <xdr:to>
      <xdr:col>23</xdr:col>
      <xdr:colOff>220980</xdr:colOff>
      <xdr:row>36</xdr:row>
      <xdr:rowOff>106680</xdr:rowOff>
    </xdr:to>
    <xdr:sp macro="" textlink="">
      <xdr:nvSpPr>
        <xdr:cNvPr id="149" name="TextBox 148">
          <a:extLst>
            <a:ext uri="{FF2B5EF4-FFF2-40B4-BE49-F238E27FC236}">
              <a16:creationId xmlns:a16="http://schemas.microsoft.com/office/drawing/2014/main" id="{29711CDD-D7EE-4775-A3E2-0A67E26886B2}"/>
            </a:ext>
          </a:extLst>
        </xdr:cNvPr>
        <xdr:cNvSpPr txBox="1"/>
      </xdr:nvSpPr>
      <xdr:spPr>
        <a:xfrm>
          <a:off x="12169140" y="4259580"/>
          <a:ext cx="2072640" cy="2430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GB" sz="1100" b="1">
              <a:solidFill>
                <a:schemeClr val="dk1"/>
              </a:solidFill>
              <a:effectLst/>
              <a:latin typeface="+mn-lt"/>
              <a:ea typeface="+mn-ea"/>
              <a:cs typeface="+mn-cs"/>
            </a:rPr>
            <a:t>     </a:t>
          </a:r>
          <a:r>
            <a:rPr lang="en-GB" sz="900" b="1">
              <a:solidFill>
                <a:srgbClr val="000E64"/>
              </a:solidFill>
              <a:effectLst/>
              <a:latin typeface="+mn-lt"/>
              <a:ea typeface="+mn-ea"/>
              <a:cs typeface="+mn-cs"/>
            </a:rPr>
            <a:t>Sustain</a:t>
          </a:r>
          <a:r>
            <a:rPr lang="en-GB" sz="900" b="1" baseline="0">
              <a:solidFill>
                <a:srgbClr val="000E64"/>
              </a:solidFill>
              <a:effectLst/>
              <a:latin typeface="+mn-lt"/>
              <a:ea typeface="+mn-ea"/>
              <a:cs typeface="+mn-cs"/>
            </a:rPr>
            <a:t> growth </a:t>
          </a:r>
          <a:r>
            <a:rPr lang="en-GB" sz="900" b="0" baseline="0">
              <a:solidFill>
                <a:schemeClr val="tx1"/>
              </a:solidFill>
              <a:effectLst/>
              <a:latin typeface="+mn-lt"/>
              <a:ea typeface="+mn-ea"/>
              <a:cs typeface="+mn-cs"/>
            </a:rPr>
            <a:t>by investing in  </a:t>
          </a:r>
        </a:p>
        <a:p>
          <a:pPr lvl="0"/>
          <a:r>
            <a:rPr lang="en-GB" sz="900" b="0" baseline="0">
              <a:solidFill>
                <a:schemeClr val="tx1"/>
              </a:solidFill>
              <a:effectLst/>
              <a:latin typeface="+mn-lt"/>
              <a:ea typeface="+mn-ea"/>
              <a:cs typeface="+mn-cs"/>
            </a:rPr>
            <a:t>      strong-performing products and </a:t>
          </a:r>
        </a:p>
        <a:p>
          <a:pPr marL="0" marR="0" lvl="0" indent="0" defTabSz="914400" eaLnBrk="1" fontAlgn="auto" latinLnBrk="0" hangingPunct="1">
            <a:lnSpc>
              <a:spcPct val="100000"/>
            </a:lnSpc>
            <a:spcBef>
              <a:spcPts val="0"/>
            </a:spcBef>
            <a:spcAft>
              <a:spcPts val="0"/>
            </a:spcAft>
            <a:buClrTx/>
            <a:buSzTx/>
            <a:buFontTx/>
            <a:buNone/>
            <a:tabLst/>
            <a:defRPr/>
          </a:pPr>
          <a:r>
            <a:rPr lang="en-GB" sz="900" b="0" baseline="0">
              <a:solidFill>
                <a:schemeClr val="tx1"/>
              </a:solidFill>
              <a:effectLst/>
              <a:latin typeface="+mn-lt"/>
              <a:ea typeface="+mn-ea"/>
              <a:cs typeface="+mn-cs"/>
            </a:rPr>
            <a:t>       categories.</a:t>
          </a:r>
          <a:endParaRPr lang="en-NG" sz="900" b="0">
            <a:solidFill>
              <a:schemeClr val="tx1"/>
            </a:solidFill>
            <a:effectLst/>
          </a:endParaRPr>
        </a:p>
        <a:p>
          <a:pPr lvl="0"/>
          <a:endParaRPr lang="en-NG" sz="900">
            <a:solidFill>
              <a:schemeClr val="dk1"/>
            </a:solidFill>
            <a:effectLst/>
            <a:latin typeface="+mn-lt"/>
            <a:ea typeface="+mn-ea"/>
            <a:cs typeface="+mn-cs"/>
          </a:endParaRPr>
        </a:p>
        <a:p>
          <a:pPr lvl="0"/>
          <a:r>
            <a:rPr lang="en-GB" sz="900" b="1">
              <a:solidFill>
                <a:schemeClr val="dk1"/>
              </a:solidFill>
              <a:effectLst/>
              <a:latin typeface="+mn-lt"/>
              <a:ea typeface="+mn-ea"/>
              <a:cs typeface="+mn-cs"/>
            </a:rPr>
            <a:t>      </a:t>
          </a:r>
          <a:r>
            <a:rPr lang="en-GB" sz="900" b="1">
              <a:solidFill>
                <a:srgbClr val="000E64"/>
              </a:solidFill>
              <a:effectLst/>
              <a:latin typeface="+mn-lt"/>
              <a:ea typeface="+mn-ea"/>
              <a:cs typeface="+mn-cs"/>
            </a:rPr>
            <a:t>Expand</a:t>
          </a:r>
          <a:r>
            <a:rPr lang="en-GB" sz="900" b="1">
              <a:solidFill>
                <a:schemeClr val="dk1"/>
              </a:solidFill>
              <a:effectLst/>
              <a:latin typeface="+mn-lt"/>
              <a:ea typeface="+mn-ea"/>
              <a:cs typeface="+mn-cs"/>
            </a:rPr>
            <a:t> </a:t>
          </a:r>
          <a:r>
            <a:rPr lang="en-NG" sz="900" b="1">
              <a:solidFill>
                <a:srgbClr val="000E64"/>
              </a:solidFill>
              <a:effectLst/>
              <a:latin typeface="+mn-lt"/>
              <a:ea typeface="+mn-ea"/>
              <a:cs typeface="+mn-cs"/>
            </a:rPr>
            <a:t>Home Appliances </a:t>
          </a:r>
          <a:r>
            <a:rPr lang="en-GB" sz="900" b="0">
              <a:solidFill>
                <a:sysClr val="windowText" lastClr="000000"/>
              </a:solidFill>
              <a:effectLst/>
              <a:latin typeface="+mn-lt"/>
              <a:ea typeface="+mn-ea"/>
              <a:cs typeface="+mn-cs"/>
            </a:rPr>
            <a:t>through</a:t>
          </a:r>
          <a:r>
            <a:rPr lang="en-GB" sz="900" b="0" baseline="0">
              <a:solidFill>
                <a:sysClr val="windowText" lastClr="000000"/>
              </a:solidFill>
              <a:effectLst/>
              <a:latin typeface="+mn-lt"/>
              <a:ea typeface="+mn-ea"/>
              <a:cs typeface="+mn-cs"/>
            </a:rPr>
            <a:t> </a:t>
          </a:r>
        </a:p>
        <a:p>
          <a:pPr lvl="0"/>
          <a:r>
            <a:rPr lang="en-GB" sz="900" b="0" baseline="0">
              <a:solidFill>
                <a:sysClr val="windowText" lastClr="000000"/>
              </a:solidFill>
              <a:effectLst/>
              <a:latin typeface="+mn-lt"/>
              <a:ea typeface="+mn-ea"/>
              <a:cs typeface="+mn-cs"/>
            </a:rPr>
            <a:t>       increased stock and targeted </a:t>
          </a:r>
        </a:p>
        <a:p>
          <a:pPr lvl="0"/>
          <a:r>
            <a:rPr lang="en-GB" sz="900" b="0" baseline="0">
              <a:solidFill>
                <a:sysClr val="windowText" lastClr="000000"/>
              </a:solidFill>
              <a:effectLst/>
              <a:latin typeface="+mn-lt"/>
              <a:ea typeface="+mn-ea"/>
              <a:cs typeface="+mn-cs"/>
            </a:rPr>
            <a:t>      promotions.</a:t>
          </a:r>
          <a:r>
            <a:rPr lang="en-GB" sz="900" b="0">
              <a:solidFill>
                <a:sysClr val="windowText" lastClr="000000"/>
              </a:solidFill>
              <a:effectLst/>
              <a:latin typeface="+mn-lt"/>
              <a:ea typeface="+mn-ea"/>
              <a:cs typeface="+mn-cs"/>
            </a:rPr>
            <a:t>  </a:t>
          </a:r>
        </a:p>
        <a:p>
          <a:pPr lvl="0"/>
          <a:r>
            <a:rPr lang="en-GB" sz="900" b="0">
              <a:solidFill>
                <a:sysClr val="windowText" lastClr="000000"/>
              </a:solidFill>
              <a:effectLst/>
              <a:latin typeface="+mn-lt"/>
              <a:ea typeface="+mn-ea"/>
              <a:cs typeface="+mn-cs"/>
            </a:rPr>
            <a:t>   </a:t>
          </a:r>
        </a:p>
        <a:p>
          <a:pPr lvl="0"/>
          <a:r>
            <a:rPr lang="en-GB" sz="900" b="1" baseline="0">
              <a:solidFill>
                <a:schemeClr val="dk1"/>
              </a:solidFill>
              <a:effectLst/>
              <a:latin typeface="+mn-lt"/>
              <a:ea typeface="+mn-ea"/>
              <a:cs typeface="+mn-cs"/>
            </a:rPr>
            <a:t>      </a:t>
          </a:r>
          <a:r>
            <a:rPr lang="en-GB" sz="900" b="1" baseline="0">
              <a:solidFill>
                <a:srgbClr val="000E64"/>
              </a:solidFill>
              <a:effectLst/>
              <a:latin typeface="+mn-lt"/>
              <a:ea typeface="+mn-ea"/>
              <a:cs typeface="+mn-cs"/>
            </a:rPr>
            <a:t> Improve North West sales </a:t>
          </a:r>
        </a:p>
        <a:p>
          <a:pPr marL="0" marR="0" lvl="0" indent="0" defTabSz="914400" eaLnBrk="1" fontAlgn="auto" latinLnBrk="0" hangingPunct="1">
            <a:lnSpc>
              <a:spcPct val="100000"/>
            </a:lnSpc>
            <a:spcBef>
              <a:spcPts val="0"/>
            </a:spcBef>
            <a:spcAft>
              <a:spcPts val="0"/>
            </a:spcAft>
            <a:buClrTx/>
            <a:buSzTx/>
            <a:buFontTx/>
            <a:buNone/>
            <a:tabLst/>
            <a:defRPr/>
          </a:pPr>
          <a:r>
            <a:rPr lang="en-GB" sz="900" b="1" baseline="0">
              <a:solidFill>
                <a:srgbClr val="000E64"/>
              </a:solidFill>
              <a:effectLst/>
              <a:latin typeface="+mn-lt"/>
              <a:ea typeface="+mn-ea"/>
              <a:cs typeface="+mn-cs"/>
            </a:rPr>
            <a:t>       </a:t>
          </a:r>
          <a:r>
            <a:rPr lang="en-GB" sz="900" b="0" baseline="0">
              <a:solidFill>
                <a:schemeClr val="dk1"/>
              </a:solidFill>
              <a:effectLst/>
              <a:latin typeface="+mn-lt"/>
              <a:ea typeface="+mn-ea"/>
              <a:cs typeface="+mn-cs"/>
            </a:rPr>
            <a:t>through targeted marketing and </a:t>
          </a:r>
        </a:p>
        <a:p>
          <a:pPr marL="0" marR="0" lvl="0" indent="0" defTabSz="914400" eaLnBrk="1" fontAlgn="auto" latinLnBrk="0" hangingPunct="1">
            <a:lnSpc>
              <a:spcPct val="100000"/>
            </a:lnSpc>
            <a:spcBef>
              <a:spcPts val="0"/>
            </a:spcBef>
            <a:spcAft>
              <a:spcPts val="0"/>
            </a:spcAft>
            <a:buClrTx/>
            <a:buSzTx/>
            <a:buFontTx/>
            <a:buNone/>
            <a:tabLst/>
            <a:defRPr/>
          </a:pPr>
          <a:r>
            <a:rPr lang="en-GB" sz="900" b="0" baseline="0">
              <a:solidFill>
                <a:schemeClr val="dk1"/>
              </a:solidFill>
              <a:effectLst/>
              <a:latin typeface="+mn-lt"/>
              <a:ea typeface="+mn-ea"/>
              <a:cs typeface="+mn-cs"/>
            </a:rPr>
            <a:t>       distribution</a:t>
          </a:r>
          <a:r>
            <a:rPr lang="en-GB" sz="900" b="0">
              <a:solidFill>
                <a:schemeClr val="dk1"/>
              </a:solidFill>
              <a:effectLst/>
              <a:latin typeface="+mn-lt"/>
              <a:ea typeface="+mn-ea"/>
              <a:cs typeface="+mn-cs"/>
            </a:rPr>
            <a:t>.</a:t>
          </a:r>
          <a:r>
            <a:rPr lang="en-GB" sz="900" b="1">
              <a:solidFill>
                <a:schemeClr val="dk1"/>
              </a:solidFill>
              <a:effectLst/>
              <a:latin typeface="+mn-lt"/>
              <a:ea typeface="+mn-ea"/>
              <a:cs typeface="+mn-cs"/>
            </a:rPr>
            <a:t>    </a:t>
          </a:r>
          <a:r>
            <a:rPr lang="en-GB" sz="900" baseline="0">
              <a:solidFill>
                <a:schemeClr val="dk1"/>
              </a:solidFill>
              <a:effectLst/>
              <a:latin typeface="+mn-lt"/>
              <a:ea typeface="+mn-ea"/>
              <a:cs typeface="+mn-cs"/>
            </a:rPr>
            <a:t>       </a:t>
          </a:r>
          <a:endParaRPr lang="en-GB" sz="900">
            <a:solidFill>
              <a:schemeClr val="dk1"/>
            </a:solidFill>
            <a:effectLst/>
            <a:latin typeface="+mn-lt"/>
            <a:ea typeface="+mn-ea"/>
            <a:cs typeface="+mn-cs"/>
          </a:endParaRPr>
        </a:p>
        <a:p>
          <a:pPr lvl="0"/>
          <a:endParaRPr lang="en-GB" sz="900">
            <a:solidFill>
              <a:schemeClr val="dk1"/>
            </a:solidFill>
            <a:effectLst/>
            <a:latin typeface="+mn-lt"/>
            <a:ea typeface="+mn-ea"/>
            <a:cs typeface="+mn-cs"/>
          </a:endParaRPr>
        </a:p>
        <a:p>
          <a:pPr lvl="0"/>
          <a:r>
            <a:rPr lang="en-GB" sz="900">
              <a:solidFill>
                <a:schemeClr val="dk1"/>
              </a:solidFill>
              <a:effectLst/>
              <a:latin typeface="+mn-lt"/>
              <a:ea typeface="+mn-ea"/>
              <a:cs typeface="+mn-cs"/>
            </a:rPr>
            <a:t> </a:t>
          </a:r>
          <a:r>
            <a:rPr lang="en-GB" sz="900" baseline="0">
              <a:solidFill>
                <a:schemeClr val="dk1"/>
              </a:solidFill>
              <a:effectLst/>
              <a:latin typeface="+mn-lt"/>
              <a:ea typeface="+mn-ea"/>
              <a:cs typeface="+mn-cs"/>
            </a:rPr>
            <a:t>      </a:t>
          </a:r>
          <a:r>
            <a:rPr lang="en-GB" sz="900" b="1">
              <a:solidFill>
                <a:srgbClr val="000066"/>
              </a:solidFill>
              <a:effectLst/>
              <a:latin typeface="+mn-lt"/>
              <a:ea typeface="+mn-ea"/>
              <a:cs typeface="+mn-cs"/>
            </a:rPr>
            <a:t>Revive</a:t>
          </a:r>
          <a:r>
            <a:rPr lang="en-GB" sz="900">
              <a:solidFill>
                <a:schemeClr val="dk1"/>
              </a:solidFill>
              <a:effectLst/>
              <a:latin typeface="+mn-lt"/>
              <a:ea typeface="+mn-ea"/>
              <a:cs typeface="+mn-cs"/>
            </a:rPr>
            <a:t> </a:t>
          </a:r>
          <a:r>
            <a:rPr lang="en-NG" sz="900" b="1">
              <a:solidFill>
                <a:srgbClr val="000E64"/>
              </a:solidFill>
              <a:effectLst/>
              <a:latin typeface="+mn-lt"/>
              <a:ea typeface="+mn-ea"/>
              <a:cs typeface="+mn-cs"/>
            </a:rPr>
            <a:t>Gaming </a:t>
          </a:r>
          <a:r>
            <a:rPr lang="en-GB" sz="900" b="0">
              <a:solidFill>
                <a:sysClr val="windowText" lastClr="000000"/>
              </a:solidFill>
              <a:effectLst/>
              <a:latin typeface="+mn-lt"/>
              <a:ea typeface="+mn-ea"/>
              <a:cs typeface="+mn-cs"/>
            </a:rPr>
            <a:t>by reviewing</a:t>
          </a:r>
          <a:r>
            <a:rPr lang="en-GB" sz="900" b="0" baseline="0">
              <a:solidFill>
                <a:sysClr val="windowText" lastClr="000000"/>
              </a:solidFill>
              <a:effectLst/>
              <a:latin typeface="+mn-lt"/>
              <a:ea typeface="+mn-ea"/>
              <a:cs typeface="+mn-cs"/>
            </a:rPr>
            <a:t> </a:t>
          </a:r>
          <a:r>
            <a:rPr lang="en-GB" sz="900" baseline="0">
              <a:solidFill>
                <a:schemeClr val="dk1"/>
              </a:solidFill>
              <a:effectLst/>
              <a:latin typeface="+mn-lt"/>
              <a:ea typeface="+mn-ea"/>
              <a:cs typeface="+mn-cs"/>
            </a:rPr>
            <a:t>        </a:t>
          </a:r>
          <a:endParaRPr lang="en-NG" sz="9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GB" sz="900" baseline="0">
              <a:solidFill>
                <a:schemeClr val="dk1"/>
              </a:solidFill>
              <a:effectLst/>
              <a:latin typeface="+mn-lt"/>
              <a:ea typeface="+mn-ea"/>
              <a:cs typeface="+mn-cs"/>
            </a:rPr>
            <a:t>       </a:t>
          </a:r>
          <a:r>
            <a:rPr lang="en-GB" sz="900" b="0" baseline="0">
              <a:solidFill>
                <a:schemeClr val="dk1"/>
              </a:solidFill>
              <a:effectLst/>
              <a:latin typeface="+mn-lt"/>
              <a:ea typeface="+mn-ea"/>
              <a:cs typeface="+mn-cs"/>
            </a:rPr>
            <a:t>demand, pricing, product mix and </a:t>
          </a:r>
        </a:p>
        <a:p>
          <a:pPr marL="0" marR="0" lvl="0" indent="0" defTabSz="914400" eaLnBrk="1" fontAlgn="auto" latinLnBrk="0" hangingPunct="1">
            <a:lnSpc>
              <a:spcPct val="100000"/>
            </a:lnSpc>
            <a:spcBef>
              <a:spcPts val="0"/>
            </a:spcBef>
            <a:spcAft>
              <a:spcPts val="0"/>
            </a:spcAft>
            <a:buClrTx/>
            <a:buSzTx/>
            <a:buFontTx/>
            <a:buNone/>
            <a:tabLst/>
            <a:defRPr/>
          </a:pPr>
          <a:r>
            <a:rPr lang="en-GB" sz="900" b="0" baseline="0">
              <a:solidFill>
                <a:schemeClr val="dk1"/>
              </a:solidFill>
              <a:effectLst/>
              <a:latin typeface="+mn-lt"/>
              <a:ea typeface="+mn-ea"/>
              <a:cs typeface="+mn-cs"/>
            </a:rPr>
            <a:t>       promotions.</a:t>
          </a:r>
          <a:endParaRPr lang="en-NG" sz="90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a:solidFill>
              <a:schemeClr val="dk1"/>
            </a:solidFill>
            <a:effectLst/>
            <a:latin typeface="+mn-lt"/>
            <a:ea typeface="+mn-ea"/>
            <a:cs typeface="+mn-cs"/>
          </a:endParaRPr>
        </a:p>
      </xdr:txBody>
    </xdr:sp>
    <xdr:clientData/>
  </xdr:twoCellAnchor>
  <xdr:twoCellAnchor>
    <xdr:from>
      <xdr:col>11</xdr:col>
      <xdr:colOff>297180</xdr:colOff>
      <xdr:row>8</xdr:row>
      <xdr:rowOff>175260</xdr:rowOff>
    </xdr:from>
    <xdr:to>
      <xdr:col>19</xdr:col>
      <xdr:colOff>527099</xdr:colOff>
      <xdr:row>23</xdr:row>
      <xdr:rowOff>31348</xdr:rowOff>
    </xdr:to>
    <xdr:grpSp>
      <xdr:nvGrpSpPr>
        <xdr:cNvPr id="33" name="Group 32">
          <a:extLst>
            <a:ext uri="{FF2B5EF4-FFF2-40B4-BE49-F238E27FC236}">
              <a16:creationId xmlns:a16="http://schemas.microsoft.com/office/drawing/2014/main" id="{7324000E-BCF0-4FD3-9A38-3B15C98F442A}"/>
            </a:ext>
          </a:extLst>
        </xdr:cNvPr>
        <xdr:cNvGrpSpPr/>
      </xdr:nvGrpSpPr>
      <xdr:grpSpPr>
        <a:xfrm>
          <a:off x="7002780" y="1638300"/>
          <a:ext cx="5106719" cy="2599288"/>
          <a:chOff x="1962624" y="4413760"/>
          <a:chExt cx="4012933" cy="2468569"/>
        </a:xfrm>
      </xdr:grpSpPr>
      <xdr:sp macro="" textlink="">
        <xdr:nvSpPr>
          <xdr:cNvPr id="180" name="Rectangle 179">
            <a:extLst>
              <a:ext uri="{FF2B5EF4-FFF2-40B4-BE49-F238E27FC236}">
                <a16:creationId xmlns:a16="http://schemas.microsoft.com/office/drawing/2014/main" id="{A6072CE5-028F-4006-8A95-2DF0E0434EEA}"/>
              </a:ext>
            </a:extLst>
          </xdr:cNvPr>
          <xdr:cNvSpPr/>
        </xdr:nvSpPr>
        <xdr:spPr>
          <a:xfrm>
            <a:off x="1965960" y="4421374"/>
            <a:ext cx="3931920" cy="2460955"/>
          </a:xfrm>
          <a:prstGeom prst="rect">
            <a:avLst/>
          </a:prstGeom>
          <a:solidFill>
            <a:schemeClr val="bg1"/>
          </a:solidFill>
          <a:ln>
            <a:noFill/>
          </a:ln>
          <a:effectLst>
            <a:reflection blurRad="6350" stA="52000" endA="300" endPos="3500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aphicFrame macro="">
        <xdr:nvGraphicFramePr>
          <xdr:cNvPr id="181" name="Region Chart">
            <a:extLst>
              <a:ext uri="{FF2B5EF4-FFF2-40B4-BE49-F238E27FC236}">
                <a16:creationId xmlns:a16="http://schemas.microsoft.com/office/drawing/2014/main" id="{251062F6-8007-4DAD-B162-588493304BB2}"/>
              </a:ext>
            </a:extLst>
          </xdr:cNvPr>
          <xdr:cNvGraphicFramePr>
            <a:graphicFrameLocks/>
          </xdr:cNvGraphicFramePr>
        </xdr:nvGraphicFramePr>
        <xdr:xfrm>
          <a:off x="1962624" y="4413760"/>
          <a:ext cx="4012933" cy="2462403"/>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19</xdr:col>
      <xdr:colOff>571501</xdr:colOff>
      <xdr:row>6</xdr:row>
      <xdr:rowOff>121028</xdr:rowOff>
    </xdr:from>
    <xdr:to>
      <xdr:col>20</xdr:col>
      <xdr:colOff>160021</xdr:colOff>
      <xdr:row>7</xdr:row>
      <xdr:rowOff>104472</xdr:rowOff>
    </xdr:to>
    <xdr:grpSp>
      <xdr:nvGrpSpPr>
        <xdr:cNvPr id="147" name="Group 146">
          <a:extLst>
            <a:ext uri="{FF2B5EF4-FFF2-40B4-BE49-F238E27FC236}">
              <a16:creationId xmlns:a16="http://schemas.microsoft.com/office/drawing/2014/main" id="{75ED092A-56A3-487F-81C1-E7B66D644753}"/>
            </a:ext>
          </a:extLst>
        </xdr:cNvPr>
        <xdr:cNvGrpSpPr/>
      </xdr:nvGrpSpPr>
      <xdr:grpSpPr>
        <a:xfrm>
          <a:off x="12153901" y="1218308"/>
          <a:ext cx="198120" cy="166324"/>
          <a:chOff x="10546080" y="1988819"/>
          <a:chExt cx="304800" cy="243841"/>
        </a:xfrm>
      </xdr:grpSpPr>
      <xdr:sp macro="" textlink="">
        <xdr:nvSpPr>
          <xdr:cNvPr id="148" name="Rectangle 147">
            <a:extLst>
              <a:ext uri="{FF2B5EF4-FFF2-40B4-BE49-F238E27FC236}">
                <a16:creationId xmlns:a16="http://schemas.microsoft.com/office/drawing/2014/main" id="{57F0DB01-6B3B-41DF-9B07-71C8C8371428}"/>
              </a:ext>
            </a:extLst>
          </xdr:cNvPr>
          <xdr:cNvSpPr/>
        </xdr:nvSpPr>
        <xdr:spPr>
          <a:xfrm>
            <a:off x="10546080" y="1997592"/>
            <a:ext cx="304800" cy="235068"/>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pic>
        <xdr:nvPicPr>
          <xdr:cNvPr id="152" name="Graphic 151" descr="Lightbulb">
            <a:extLst>
              <a:ext uri="{FF2B5EF4-FFF2-40B4-BE49-F238E27FC236}">
                <a16:creationId xmlns:a16="http://schemas.microsoft.com/office/drawing/2014/main" id="{E74683C4-C978-414A-910A-C962EF253B78}"/>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0584190" y="1988819"/>
            <a:ext cx="228600" cy="228600"/>
          </a:xfrm>
          <a:prstGeom prst="rect">
            <a:avLst/>
          </a:prstGeom>
        </xdr:spPr>
      </xdr:pic>
    </xdr:grpSp>
    <xdr:clientData/>
  </xdr:twoCellAnchor>
  <xdr:twoCellAnchor>
    <xdr:from>
      <xdr:col>19</xdr:col>
      <xdr:colOff>563881</xdr:colOff>
      <xdr:row>9</xdr:row>
      <xdr:rowOff>44828</xdr:rowOff>
    </xdr:from>
    <xdr:to>
      <xdr:col>20</xdr:col>
      <xdr:colOff>152401</xdr:colOff>
      <xdr:row>10</xdr:row>
      <xdr:rowOff>28272</xdr:rowOff>
    </xdr:to>
    <xdr:grpSp>
      <xdr:nvGrpSpPr>
        <xdr:cNvPr id="159" name="Group 158">
          <a:extLst>
            <a:ext uri="{FF2B5EF4-FFF2-40B4-BE49-F238E27FC236}">
              <a16:creationId xmlns:a16="http://schemas.microsoft.com/office/drawing/2014/main" id="{F635B59C-6858-4AA1-8EE0-DBBBF92D1CCD}"/>
            </a:ext>
          </a:extLst>
        </xdr:cNvPr>
        <xdr:cNvGrpSpPr/>
      </xdr:nvGrpSpPr>
      <xdr:grpSpPr>
        <a:xfrm>
          <a:off x="12146281" y="1690748"/>
          <a:ext cx="198120" cy="166324"/>
          <a:chOff x="10546080" y="1988819"/>
          <a:chExt cx="304800" cy="243841"/>
        </a:xfrm>
      </xdr:grpSpPr>
      <xdr:sp macro="" textlink="">
        <xdr:nvSpPr>
          <xdr:cNvPr id="160" name="Rectangle 159">
            <a:extLst>
              <a:ext uri="{FF2B5EF4-FFF2-40B4-BE49-F238E27FC236}">
                <a16:creationId xmlns:a16="http://schemas.microsoft.com/office/drawing/2014/main" id="{1D92989F-B2DF-4923-8A84-1D026741AAEC}"/>
              </a:ext>
            </a:extLst>
          </xdr:cNvPr>
          <xdr:cNvSpPr/>
        </xdr:nvSpPr>
        <xdr:spPr>
          <a:xfrm>
            <a:off x="10546080" y="1997592"/>
            <a:ext cx="304800" cy="235068"/>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pic>
        <xdr:nvPicPr>
          <xdr:cNvPr id="165" name="Graphic 164" descr="Lightbulb">
            <a:extLst>
              <a:ext uri="{FF2B5EF4-FFF2-40B4-BE49-F238E27FC236}">
                <a16:creationId xmlns:a16="http://schemas.microsoft.com/office/drawing/2014/main" id="{23D9C477-C4C4-4659-8013-E21E4CB9E883}"/>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0584190" y="1988819"/>
            <a:ext cx="228600" cy="228600"/>
          </a:xfrm>
          <a:prstGeom prst="rect">
            <a:avLst/>
          </a:prstGeom>
        </xdr:spPr>
      </xdr:pic>
    </xdr:grpSp>
    <xdr:clientData/>
  </xdr:twoCellAnchor>
  <xdr:twoCellAnchor>
    <xdr:from>
      <xdr:col>19</xdr:col>
      <xdr:colOff>571501</xdr:colOff>
      <xdr:row>14</xdr:row>
      <xdr:rowOff>60068</xdr:rowOff>
    </xdr:from>
    <xdr:to>
      <xdr:col>20</xdr:col>
      <xdr:colOff>160021</xdr:colOff>
      <xdr:row>15</xdr:row>
      <xdr:rowOff>43512</xdr:rowOff>
    </xdr:to>
    <xdr:grpSp>
      <xdr:nvGrpSpPr>
        <xdr:cNvPr id="166" name="Group 165">
          <a:extLst>
            <a:ext uri="{FF2B5EF4-FFF2-40B4-BE49-F238E27FC236}">
              <a16:creationId xmlns:a16="http://schemas.microsoft.com/office/drawing/2014/main" id="{56D4B294-0BC7-4F0B-A021-FEA24F86511E}"/>
            </a:ext>
          </a:extLst>
        </xdr:cNvPr>
        <xdr:cNvGrpSpPr/>
      </xdr:nvGrpSpPr>
      <xdr:grpSpPr>
        <a:xfrm>
          <a:off x="12153901" y="2620388"/>
          <a:ext cx="198120" cy="166324"/>
          <a:chOff x="10546080" y="1988819"/>
          <a:chExt cx="304800" cy="243841"/>
        </a:xfrm>
      </xdr:grpSpPr>
      <xdr:sp macro="" textlink="">
        <xdr:nvSpPr>
          <xdr:cNvPr id="167" name="Rectangle 166">
            <a:extLst>
              <a:ext uri="{FF2B5EF4-FFF2-40B4-BE49-F238E27FC236}">
                <a16:creationId xmlns:a16="http://schemas.microsoft.com/office/drawing/2014/main" id="{A88F1722-921B-44AF-A69A-3125D5D0AEFF}"/>
              </a:ext>
            </a:extLst>
          </xdr:cNvPr>
          <xdr:cNvSpPr/>
        </xdr:nvSpPr>
        <xdr:spPr>
          <a:xfrm>
            <a:off x="10546080" y="1997592"/>
            <a:ext cx="304800" cy="235068"/>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pic>
        <xdr:nvPicPr>
          <xdr:cNvPr id="168" name="Graphic 167" descr="Lightbulb">
            <a:extLst>
              <a:ext uri="{FF2B5EF4-FFF2-40B4-BE49-F238E27FC236}">
                <a16:creationId xmlns:a16="http://schemas.microsoft.com/office/drawing/2014/main" id="{CA874018-D45E-42CB-A377-774BB957CA9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0584190" y="1988819"/>
            <a:ext cx="228600" cy="228600"/>
          </a:xfrm>
          <a:prstGeom prst="rect">
            <a:avLst/>
          </a:prstGeom>
        </xdr:spPr>
      </xdr:pic>
    </xdr:grpSp>
    <xdr:clientData/>
  </xdr:twoCellAnchor>
  <xdr:twoCellAnchor>
    <xdr:from>
      <xdr:col>19</xdr:col>
      <xdr:colOff>579121</xdr:colOff>
      <xdr:row>15</xdr:row>
      <xdr:rowOff>174368</xdr:rowOff>
    </xdr:from>
    <xdr:to>
      <xdr:col>20</xdr:col>
      <xdr:colOff>167641</xdr:colOff>
      <xdr:row>16</xdr:row>
      <xdr:rowOff>157812</xdr:rowOff>
    </xdr:to>
    <xdr:grpSp>
      <xdr:nvGrpSpPr>
        <xdr:cNvPr id="169" name="Group 168">
          <a:extLst>
            <a:ext uri="{FF2B5EF4-FFF2-40B4-BE49-F238E27FC236}">
              <a16:creationId xmlns:a16="http://schemas.microsoft.com/office/drawing/2014/main" id="{AE0D013F-543D-4FFB-993B-511DCAE36A93}"/>
            </a:ext>
          </a:extLst>
        </xdr:cNvPr>
        <xdr:cNvGrpSpPr/>
      </xdr:nvGrpSpPr>
      <xdr:grpSpPr>
        <a:xfrm>
          <a:off x="12161521" y="2917568"/>
          <a:ext cx="198120" cy="166324"/>
          <a:chOff x="10546080" y="1988819"/>
          <a:chExt cx="304800" cy="243841"/>
        </a:xfrm>
      </xdr:grpSpPr>
      <xdr:sp macro="" textlink="">
        <xdr:nvSpPr>
          <xdr:cNvPr id="170" name="Rectangle 169">
            <a:extLst>
              <a:ext uri="{FF2B5EF4-FFF2-40B4-BE49-F238E27FC236}">
                <a16:creationId xmlns:a16="http://schemas.microsoft.com/office/drawing/2014/main" id="{E7828ECC-83E0-4114-B5F7-140FD9155852}"/>
              </a:ext>
            </a:extLst>
          </xdr:cNvPr>
          <xdr:cNvSpPr/>
        </xdr:nvSpPr>
        <xdr:spPr>
          <a:xfrm>
            <a:off x="10546080" y="1997592"/>
            <a:ext cx="304800" cy="235068"/>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pic>
        <xdr:nvPicPr>
          <xdr:cNvPr id="171" name="Graphic 170" descr="Lightbulb">
            <a:extLst>
              <a:ext uri="{FF2B5EF4-FFF2-40B4-BE49-F238E27FC236}">
                <a16:creationId xmlns:a16="http://schemas.microsoft.com/office/drawing/2014/main" id="{A1748399-A7FD-4B85-8497-63D6E915137D}"/>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0584190" y="1988819"/>
            <a:ext cx="228600" cy="228600"/>
          </a:xfrm>
          <a:prstGeom prst="rect">
            <a:avLst/>
          </a:prstGeom>
        </xdr:spPr>
      </xdr:pic>
    </xdr:grpSp>
    <xdr:clientData/>
  </xdr:twoCellAnchor>
  <xdr:twoCellAnchor>
    <xdr:from>
      <xdr:col>3</xdr:col>
      <xdr:colOff>0</xdr:colOff>
      <xdr:row>23</xdr:row>
      <xdr:rowOff>68580</xdr:rowOff>
    </xdr:from>
    <xdr:to>
      <xdr:col>9</xdr:col>
      <xdr:colOff>472440</xdr:colOff>
      <xdr:row>36</xdr:row>
      <xdr:rowOff>167640</xdr:rowOff>
    </xdr:to>
    <xdr:grpSp>
      <xdr:nvGrpSpPr>
        <xdr:cNvPr id="130" name="Group 129">
          <a:extLst>
            <a:ext uri="{FF2B5EF4-FFF2-40B4-BE49-F238E27FC236}">
              <a16:creationId xmlns:a16="http://schemas.microsoft.com/office/drawing/2014/main" id="{D84DF93D-600F-46F2-9A03-06330BAED51E}"/>
            </a:ext>
          </a:extLst>
        </xdr:cNvPr>
        <xdr:cNvGrpSpPr/>
      </xdr:nvGrpSpPr>
      <xdr:grpSpPr>
        <a:xfrm>
          <a:off x="1828800" y="4274820"/>
          <a:ext cx="4130040" cy="2476500"/>
          <a:chOff x="5502332" y="1758142"/>
          <a:chExt cx="3193890" cy="3236361"/>
        </a:xfrm>
      </xdr:grpSpPr>
      <xdr:sp macro="" textlink="">
        <xdr:nvSpPr>
          <xdr:cNvPr id="131" name="Rectangle 130">
            <a:extLst>
              <a:ext uri="{FF2B5EF4-FFF2-40B4-BE49-F238E27FC236}">
                <a16:creationId xmlns:a16="http://schemas.microsoft.com/office/drawing/2014/main" id="{9D75F7C2-ACF8-4B09-B2C1-41085763FBE3}"/>
              </a:ext>
            </a:extLst>
          </xdr:cNvPr>
          <xdr:cNvSpPr/>
        </xdr:nvSpPr>
        <xdr:spPr>
          <a:xfrm>
            <a:off x="5502332" y="1758142"/>
            <a:ext cx="3190427" cy="3236361"/>
          </a:xfrm>
          <a:prstGeom prst="rect">
            <a:avLst/>
          </a:prstGeom>
          <a:solidFill>
            <a:schemeClr val="bg1"/>
          </a:solidFill>
          <a:ln>
            <a:noFill/>
          </a:ln>
          <a:effectLst>
            <a:reflection blurRad="6350" stA="52000" endA="300" endPos="3500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aphicFrame macro="">
        <xdr:nvGraphicFramePr>
          <xdr:cNvPr id="132" name=" Product Category Chart">
            <a:extLst>
              <a:ext uri="{FF2B5EF4-FFF2-40B4-BE49-F238E27FC236}">
                <a16:creationId xmlns:a16="http://schemas.microsoft.com/office/drawing/2014/main" id="{7CB70313-37B6-4B31-92F4-CF6FCA7AA06C}"/>
              </a:ext>
            </a:extLst>
          </xdr:cNvPr>
          <xdr:cNvGraphicFramePr>
            <a:graphicFrameLocks/>
          </xdr:cNvGraphicFramePr>
        </xdr:nvGraphicFramePr>
        <xdr:xfrm>
          <a:off x="5504062" y="1758555"/>
          <a:ext cx="3192160" cy="3223666"/>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twoCellAnchor>
    <xdr:from>
      <xdr:col>9</xdr:col>
      <xdr:colOff>480060</xdr:colOff>
      <xdr:row>23</xdr:row>
      <xdr:rowOff>55269</xdr:rowOff>
    </xdr:from>
    <xdr:to>
      <xdr:col>15</xdr:col>
      <xdr:colOff>7620</xdr:colOff>
      <xdr:row>36</xdr:row>
      <xdr:rowOff>140229</xdr:rowOff>
    </xdr:to>
    <xdr:graphicFrame macro="">
      <xdr:nvGraphicFramePr>
        <xdr:cNvPr id="133" name="Top 5 Products">
          <a:extLst>
            <a:ext uri="{FF2B5EF4-FFF2-40B4-BE49-F238E27FC236}">
              <a16:creationId xmlns:a16="http://schemas.microsoft.com/office/drawing/2014/main" id="{D651AC9B-5F7F-4216-8459-1170CB11E8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15</xdr:col>
      <xdr:colOff>45720</xdr:colOff>
      <xdr:row>23</xdr:row>
      <xdr:rowOff>53340</xdr:rowOff>
    </xdr:from>
    <xdr:to>
      <xdr:col>19</xdr:col>
      <xdr:colOff>533400</xdr:colOff>
      <xdr:row>36</xdr:row>
      <xdr:rowOff>136855</xdr:rowOff>
    </xdr:to>
    <xdr:grpSp>
      <xdr:nvGrpSpPr>
        <xdr:cNvPr id="134" name="Group 133">
          <a:extLst>
            <a:ext uri="{FF2B5EF4-FFF2-40B4-BE49-F238E27FC236}">
              <a16:creationId xmlns:a16="http://schemas.microsoft.com/office/drawing/2014/main" id="{1D97D35A-A7C6-40B5-B5A0-1BE9B9DD5B57}"/>
            </a:ext>
          </a:extLst>
        </xdr:cNvPr>
        <xdr:cNvGrpSpPr/>
      </xdr:nvGrpSpPr>
      <xdr:grpSpPr>
        <a:xfrm>
          <a:off x="9189720" y="4259580"/>
          <a:ext cx="2926080" cy="2460955"/>
          <a:chOff x="1514544" y="4876800"/>
          <a:chExt cx="4017576" cy="2164080"/>
        </a:xfrm>
      </xdr:grpSpPr>
      <xdr:sp macro="" textlink="">
        <xdr:nvSpPr>
          <xdr:cNvPr id="135" name="Rectangle 134">
            <a:extLst>
              <a:ext uri="{FF2B5EF4-FFF2-40B4-BE49-F238E27FC236}">
                <a16:creationId xmlns:a16="http://schemas.microsoft.com/office/drawing/2014/main" id="{7343409D-4877-44B4-861D-5B2C5DEB54EE}"/>
              </a:ext>
            </a:extLst>
          </xdr:cNvPr>
          <xdr:cNvSpPr/>
        </xdr:nvSpPr>
        <xdr:spPr>
          <a:xfrm>
            <a:off x="1836420" y="4876800"/>
            <a:ext cx="3695700" cy="2164080"/>
          </a:xfrm>
          <a:prstGeom prst="rect">
            <a:avLst/>
          </a:prstGeom>
          <a:solidFill>
            <a:schemeClr val="bg1"/>
          </a:solidFill>
          <a:ln>
            <a:noFill/>
          </a:ln>
          <a:effectLst>
            <a:reflection blurRad="6350" stA="52000" endA="300" endPos="3500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aphicFrame macro="">
        <xdr:nvGraphicFramePr>
          <xdr:cNvPr id="137" name="Sales Channel">
            <a:extLst>
              <a:ext uri="{FF2B5EF4-FFF2-40B4-BE49-F238E27FC236}">
                <a16:creationId xmlns:a16="http://schemas.microsoft.com/office/drawing/2014/main" id="{DFF594B2-0BA2-4C05-8CD0-A9844FA3282F}"/>
              </a:ext>
            </a:extLst>
          </xdr:cNvPr>
          <xdr:cNvGraphicFramePr>
            <a:graphicFrameLocks/>
          </xdr:cNvGraphicFramePr>
        </xdr:nvGraphicFramePr>
        <xdr:xfrm>
          <a:off x="1514544" y="4876800"/>
          <a:ext cx="3997544" cy="2156460"/>
        </xdr:xfrm>
        <a:graphic>
          <a:graphicData uri="http://schemas.openxmlformats.org/drawingml/2006/chart">
            <c:chart xmlns:c="http://schemas.openxmlformats.org/drawingml/2006/chart" xmlns:r="http://schemas.openxmlformats.org/officeDocument/2006/relationships" r:id="rId20"/>
          </a:graphicData>
        </a:graphic>
      </xdr:graphicFrame>
    </xdr:grpSp>
    <xdr:clientData/>
  </xdr:twoCellAnchor>
  <xdr:twoCellAnchor>
    <xdr:from>
      <xdr:col>20</xdr:col>
      <xdr:colOff>304800</xdr:colOff>
      <xdr:row>4</xdr:row>
      <xdr:rowOff>22860</xdr:rowOff>
    </xdr:from>
    <xdr:to>
      <xdr:col>20</xdr:col>
      <xdr:colOff>580733</xdr:colOff>
      <xdr:row>5</xdr:row>
      <xdr:rowOff>129540</xdr:rowOff>
    </xdr:to>
    <xdr:pic>
      <xdr:nvPicPr>
        <xdr:cNvPr id="138" name="Graphic 137" descr="Lightbulb">
          <a:extLst>
            <a:ext uri="{FF2B5EF4-FFF2-40B4-BE49-F238E27FC236}">
              <a16:creationId xmlns:a16="http://schemas.microsoft.com/office/drawing/2014/main" id="{E89A196B-AF45-4930-ABC1-4919B5FF137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2496800" y="754380"/>
          <a:ext cx="275933" cy="289560"/>
        </a:xfrm>
        <a:prstGeom prst="rect">
          <a:avLst/>
        </a:prstGeom>
      </xdr:spPr>
    </xdr:pic>
    <xdr:clientData/>
  </xdr:twoCellAnchor>
  <xdr:twoCellAnchor>
    <xdr:from>
      <xdr:col>19</xdr:col>
      <xdr:colOff>576720</xdr:colOff>
      <xdr:row>29</xdr:row>
      <xdr:rowOff>129539</xdr:rowOff>
    </xdr:from>
    <xdr:to>
      <xdr:col>20</xdr:col>
      <xdr:colOff>198212</xdr:colOff>
      <xdr:row>30</xdr:row>
      <xdr:rowOff>175180</xdr:rowOff>
    </xdr:to>
    <xdr:grpSp>
      <xdr:nvGrpSpPr>
        <xdr:cNvPr id="21" name="Group 20">
          <a:extLst>
            <a:ext uri="{FF2B5EF4-FFF2-40B4-BE49-F238E27FC236}">
              <a16:creationId xmlns:a16="http://schemas.microsoft.com/office/drawing/2014/main" id="{CCA9BF3D-1B07-4721-AECA-F52A2BE567B4}"/>
            </a:ext>
          </a:extLst>
        </xdr:cNvPr>
        <xdr:cNvGrpSpPr/>
      </xdr:nvGrpSpPr>
      <xdr:grpSpPr>
        <a:xfrm>
          <a:off x="12159120" y="5433059"/>
          <a:ext cx="231092" cy="228521"/>
          <a:chOff x="12159120" y="5105400"/>
          <a:chExt cx="215760" cy="213360"/>
        </a:xfrm>
      </xdr:grpSpPr>
      <xdr:sp macro="" textlink="">
        <xdr:nvSpPr>
          <xdr:cNvPr id="173" name="Rectangle 172">
            <a:extLst>
              <a:ext uri="{FF2B5EF4-FFF2-40B4-BE49-F238E27FC236}">
                <a16:creationId xmlns:a16="http://schemas.microsoft.com/office/drawing/2014/main" id="{C505444B-44B8-42C1-B6D9-369280FCF39E}"/>
              </a:ext>
            </a:extLst>
          </xdr:cNvPr>
          <xdr:cNvSpPr/>
        </xdr:nvSpPr>
        <xdr:spPr>
          <a:xfrm>
            <a:off x="12161520" y="5126195"/>
            <a:ext cx="213360" cy="172675"/>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pic>
        <xdr:nvPicPr>
          <xdr:cNvPr id="17" name="Graphic 16" descr="Target">
            <a:extLst>
              <a:ext uri="{FF2B5EF4-FFF2-40B4-BE49-F238E27FC236}">
                <a16:creationId xmlns:a16="http://schemas.microsoft.com/office/drawing/2014/main" id="{173F78A7-332E-402E-80C8-A6A967DADFBF}"/>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12159120" y="5105400"/>
            <a:ext cx="213360" cy="213360"/>
          </a:xfrm>
          <a:prstGeom prst="rect">
            <a:avLst/>
          </a:prstGeom>
        </xdr:spPr>
      </xdr:pic>
    </xdr:grpSp>
    <xdr:clientData/>
  </xdr:twoCellAnchor>
  <xdr:twoCellAnchor editAs="oneCell">
    <xdr:from>
      <xdr:col>1</xdr:col>
      <xdr:colOff>137160</xdr:colOff>
      <xdr:row>0</xdr:row>
      <xdr:rowOff>53340</xdr:rowOff>
    </xdr:from>
    <xdr:to>
      <xdr:col>1</xdr:col>
      <xdr:colOff>419100</xdr:colOff>
      <xdr:row>1</xdr:row>
      <xdr:rowOff>152400</xdr:rowOff>
    </xdr:to>
    <xdr:pic>
      <xdr:nvPicPr>
        <xdr:cNvPr id="20" name="Graphic 19" descr="Filter">
          <a:extLst>
            <a:ext uri="{FF2B5EF4-FFF2-40B4-BE49-F238E27FC236}">
              <a16:creationId xmlns:a16="http://schemas.microsoft.com/office/drawing/2014/main" id="{DD088819-3A1F-4518-980D-972BC99C7579}"/>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746760" y="53340"/>
          <a:ext cx="281940" cy="281940"/>
        </a:xfrm>
        <a:prstGeom prst="rect">
          <a:avLst/>
        </a:prstGeom>
      </xdr:spPr>
    </xdr:pic>
    <xdr:clientData/>
  </xdr:twoCellAnchor>
  <xdr:twoCellAnchor>
    <xdr:from>
      <xdr:col>19</xdr:col>
      <xdr:colOff>586739</xdr:colOff>
      <xdr:row>32</xdr:row>
      <xdr:rowOff>165575</xdr:rowOff>
    </xdr:from>
    <xdr:to>
      <xdr:col>20</xdr:col>
      <xdr:colOff>205660</xdr:colOff>
      <xdr:row>33</xdr:row>
      <xdr:rowOff>167640</xdr:rowOff>
    </xdr:to>
    <xdr:grpSp>
      <xdr:nvGrpSpPr>
        <xdr:cNvPr id="19" name="Group 18">
          <a:extLst>
            <a:ext uri="{FF2B5EF4-FFF2-40B4-BE49-F238E27FC236}">
              <a16:creationId xmlns:a16="http://schemas.microsoft.com/office/drawing/2014/main" id="{7D8219D3-2894-4F6D-96CE-103F557056F9}"/>
            </a:ext>
          </a:extLst>
        </xdr:cNvPr>
        <xdr:cNvGrpSpPr/>
      </xdr:nvGrpSpPr>
      <xdr:grpSpPr>
        <a:xfrm>
          <a:off x="12169139" y="6017735"/>
          <a:ext cx="228521" cy="184945"/>
          <a:chOff x="12169140" y="5712935"/>
          <a:chExt cx="213360" cy="172675"/>
        </a:xfrm>
      </xdr:grpSpPr>
      <xdr:sp macro="" textlink="">
        <xdr:nvSpPr>
          <xdr:cNvPr id="184" name="Rectangle 183">
            <a:extLst>
              <a:ext uri="{FF2B5EF4-FFF2-40B4-BE49-F238E27FC236}">
                <a16:creationId xmlns:a16="http://schemas.microsoft.com/office/drawing/2014/main" id="{5CBF6684-008E-4E89-9634-3B96BFC78B2F}"/>
              </a:ext>
            </a:extLst>
          </xdr:cNvPr>
          <xdr:cNvSpPr/>
        </xdr:nvSpPr>
        <xdr:spPr>
          <a:xfrm>
            <a:off x="12169140" y="5712935"/>
            <a:ext cx="213360" cy="172675"/>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pic>
        <xdr:nvPicPr>
          <xdr:cNvPr id="24" name="Graphic 23" descr="Magnifying glass">
            <a:extLst>
              <a:ext uri="{FF2B5EF4-FFF2-40B4-BE49-F238E27FC236}">
                <a16:creationId xmlns:a16="http://schemas.microsoft.com/office/drawing/2014/main" id="{04BCE365-E2AE-4D58-98CC-F94786737DB6}"/>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12184800" y="5723460"/>
            <a:ext cx="159600" cy="159600"/>
          </a:xfrm>
          <a:prstGeom prst="rect">
            <a:avLst/>
          </a:prstGeom>
        </xdr:spPr>
      </xdr:pic>
    </xdr:grpSp>
    <xdr:clientData/>
  </xdr:twoCellAnchor>
  <xdr:twoCellAnchor>
    <xdr:from>
      <xdr:col>20</xdr:col>
      <xdr:colOff>121920</xdr:colOff>
      <xdr:row>20</xdr:row>
      <xdr:rowOff>121920</xdr:rowOff>
    </xdr:from>
    <xdr:to>
      <xdr:col>23</xdr:col>
      <xdr:colOff>281940</xdr:colOff>
      <xdr:row>22</xdr:row>
      <xdr:rowOff>160020</xdr:rowOff>
    </xdr:to>
    <xdr:sp macro="" textlink="">
      <xdr:nvSpPr>
        <xdr:cNvPr id="140" name="Rectangle: Rounded Corners 139">
          <a:extLst>
            <a:ext uri="{FF2B5EF4-FFF2-40B4-BE49-F238E27FC236}">
              <a16:creationId xmlns:a16="http://schemas.microsoft.com/office/drawing/2014/main" id="{653BDB6B-E8BD-4B21-89B9-5B06DEF77CA3}"/>
            </a:ext>
          </a:extLst>
        </xdr:cNvPr>
        <xdr:cNvSpPr/>
      </xdr:nvSpPr>
      <xdr:spPr>
        <a:xfrm>
          <a:off x="12313920" y="3779520"/>
          <a:ext cx="1988820" cy="403860"/>
        </a:xfrm>
        <a:prstGeom prst="round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200" b="1"/>
            <a:t>   RECOMMENDATIONS</a:t>
          </a:r>
          <a:endParaRPr lang="en-NG" sz="1200" b="1"/>
        </a:p>
      </xdr:txBody>
    </xdr:sp>
    <xdr:clientData/>
  </xdr:twoCellAnchor>
  <xdr:twoCellAnchor>
    <xdr:from>
      <xdr:col>19</xdr:col>
      <xdr:colOff>579120</xdr:colOff>
      <xdr:row>26</xdr:row>
      <xdr:rowOff>142715</xdr:rowOff>
    </xdr:from>
    <xdr:to>
      <xdr:col>20</xdr:col>
      <xdr:colOff>198042</xdr:colOff>
      <xdr:row>27</xdr:row>
      <xdr:rowOff>157887</xdr:rowOff>
    </xdr:to>
    <xdr:grpSp>
      <xdr:nvGrpSpPr>
        <xdr:cNvPr id="15" name="Group 14">
          <a:extLst>
            <a:ext uri="{FF2B5EF4-FFF2-40B4-BE49-F238E27FC236}">
              <a16:creationId xmlns:a16="http://schemas.microsoft.com/office/drawing/2014/main" id="{62F5D162-D127-47BE-B082-DFDBB4CE4ABB}"/>
            </a:ext>
          </a:extLst>
        </xdr:cNvPr>
        <xdr:cNvGrpSpPr/>
      </xdr:nvGrpSpPr>
      <xdr:grpSpPr>
        <a:xfrm>
          <a:off x="12161520" y="4897595"/>
          <a:ext cx="228522" cy="198052"/>
          <a:chOff x="12161520" y="4569935"/>
          <a:chExt cx="213360" cy="184912"/>
        </a:xfrm>
      </xdr:grpSpPr>
      <xdr:sp macro="" textlink="">
        <xdr:nvSpPr>
          <xdr:cNvPr id="176" name="Rectangle 175">
            <a:extLst>
              <a:ext uri="{FF2B5EF4-FFF2-40B4-BE49-F238E27FC236}">
                <a16:creationId xmlns:a16="http://schemas.microsoft.com/office/drawing/2014/main" id="{392C0872-2F6D-488D-ABE0-7B30BE42CD73}"/>
              </a:ext>
            </a:extLst>
          </xdr:cNvPr>
          <xdr:cNvSpPr/>
        </xdr:nvSpPr>
        <xdr:spPr>
          <a:xfrm>
            <a:off x="12161520" y="4569935"/>
            <a:ext cx="213360" cy="172675"/>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pic>
        <xdr:nvPicPr>
          <xdr:cNvPr id="146" name="Graphic 145" descr="Box">
            <a:extLst>
              <a:ext uri="{FF2B5EF4-FFF2-40B4-BE49-F238E27FC236}">
                <a16:creationId xmlns:a16="http://schemas.microsoft.com/office/drawing/2014/main" id="{873B10CB-292D-4543-B6E5-9904FD3496C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2184380" y="4569935"/>
            <a:ext cx="158045" cy="184912"/>
          </a:xfrm>
          <a:prstGeom prst="rect">
            <a:avLst/>
          </a:prstGeom>
        </xdr:spPr>
      </xdr:pic>
    </xdr:grpSp>
    <xdr:clientData/>
  </xdr:twoCellAnchor>
  <xdr:twoCellAnchor>
    <xdr:from>
      <xdr:col>19</xdr:col>
      <xdr:colOff>579120</xdr:colOff>
      <xdr:row>23</xdr:row>
      <xdr:rowOff>114299</xdr:rowOff>
    </xdr:from>
    <xdr:to>
      <xdr:col>20</xdr:col>
      <xdr:colOff>206202</xdr:colOff>
      <xdr:row>24</xdr:row>
      <xdr:rowOff>146798</xdr:rowOff>
    </xdr:to>
    <xdr:grpSp>
      <xdr:nvGrpSpPr>
        <xdr:cNvPr id="14" name="Group 13">
          <a:extLst>
            <a:ext uri="{FF2B5EF4-FFF2-40B4-BE49-F238E27FC236}">
              <a16:creationId xmlns:a16="http://schemas.microsoft.com/office/drawing/2014/main" id="{0F375225-7054-46C1-9F9C-7291A794422B}"/>
            </a:ext>
          </a:extLst>
        </xdr:cNvPr>
        <xdr:cNvGrpSpPr/>
      </xdr:nvGrpSpPr>
      <xdr:grpSpPr>
        <a:xfrm>
          <a:off x="12161520" y="4320539"/>
          <a:ext cx="236682" cy="215379"/>
          <a:chOff x="12169140" y="3992880"/>
          <a:chExt cx="220980" cy="201090"/>
        </a:xfrm>
      </xdr:grpSpPr>
      <xdr:sp macro="" textlink="">
        <xdr:nvSpPr>
          <xdr:cNvPr id="179" name="Rectangle 178">
            <a:extLst>
              <a:ext uri="{FF2B5EF4-FFF2-40B4-BE49-F238E27FC236}">
                <a16:creationId xmlns:a16="http://schemas.microsoft.com/office/drawing/2014/main" id="{DE6F6143-36C8-40DB-9B58-18C62DA92399}"/>
              </a:ext>
            </a:extLst>
          </xdr:cNvPr>
          <xdr:cNvSpPr/>
        </xdr:nvSpPr>
        <xdr:spPr>
          <a:xfrm>
            <a:off x="12169140" y="4021295"/>
            <a:ext cx="213360" cy="172675"/>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pic>
        <xdr:nvPicPr>
          <xdr:cNvPr id="26" name="Graphic 25" descr="Upward trend">
            <a:extLst>
              <a:ext uri="{FF2B5EF4-FFF2-40B4-BE49-F238E27FC236}">
                <a16:creationId xmlns:a16="http://schemas.microsoft.com/office/drawing/2014/main" id="{A720432B-8504-497D-9BE9-BAFF6D203289}"/>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 uri="{96DAC541-7B7A-43D3-8B79-37D633B846F1}">
                <asvg:svgBlip xmlns:asvg="http://schemas.microsoft.com/office/drawing/2016/SVG/main" r:embed="rId28"/>
              </a:ext>
            </a:extLst>
          </a:blip>
          <a:stretch>
            <a:fillRect/>
          </a:stretch>
        </xdr:blipFill>
        <xdr:spPr>
          <a:xfrm>
            <a:off x="12192000" y="3992880"/>
            <a:ext cx="198120" cy="198120"/>
          </a:xfrm>
          <a:prstGeom prst="rect">
            <a:avLst/>
          </a:prstGeom>
        </xdr:spPr>
      </xdr:pic>
    </xdr:grpSp>
    <xdr:clientData/>
  </xdr:twoCellAnchor>
  <xdr:oneCellAnchor>
    <xdr:from>
      <xdr:col>0</xdr:col>
      <xdr:colOff>114300</xdr:colOff>
      <xdr:row>0</xdr:row>
      <xdr:rowOff>53340</xdr:rowOff>
    </xdr:from>
    <xdr:ext cx="723900" cy="280205"/>
    <xdr:sp macro="" textlink="">
      <xdr:nvSpPr>
        <xdr:cNvPr id="30" name="TextBox 29">
          <a:extLst>
            <a:ext uri="{FF2B5EF4-FFF2-40B4-BE49-F238E27FC236}">
              <a16:creationId xmlns:a16="http://schemas.microsoft.com/office/drawing/2014/main" id="{2BA3A34F-BF30-4FAD-8407-89005494C309}"/>
            </a:ext>
          </a:extLst>
        </xdr:cNvPr>
        <xdr:cNvSpPr txBox="1"/>
      </xdr:nvSpPr>
      <xdr:spPr>
        <a:xfrm>
          <a:off x="114300" y="53340"/>
          <a:ext cx="7239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b="1">
              <a:solidFill>
                <a:schemeClr val="bg1"/>
              </a:solidFill>
            </a:rPr>
            <a:t>FILTERS</a:t>
          </a:r>
          <a:endParaRPr lang="en-NG" sz="1200" b="1">
            <a:solidFill>
              <a:schemeClr val="bg1"/>
            </a:solidFill>
          </a:endParaRPr>
        </a:p>
      </xdr:txBody>
    </xdr:sp>
    <xdr:clientData/>
  </xdr:oneCellAnchor>
  <xdr:twoCellAnchor>
    <xdr:from>
      <xdr:col>19</xdr:col>
      <xdr:colOff>579121</xdr:colOff>
      <xdr:row>11</xdr:row>
      <xdr:rowOff>143888</xdr:rowOff>
    </xdr:from>
    <xdr:to>
      <xdr:col>20</xdr:col>
      <xdr:colOff>167641</xdr:colOff>
      <xdr:row>12</xdr:row>
      <xdr:rowOff>127332</xdr:rowOff>
    </xdr:to>
    <xdr:grpSp>
      <xdr:nvGrpSpPr>
        <xdr:cNvPr id="139" name="Group 138">
          <a:extLst>
            <a:ext uri="{FF2B5EF4-FFF2-40B4-BE49-F238E27FC236}">
              <a16:creationId xmlns:a16="http://schemas.microsoft.com/office/drawing/2014/main" id="{2B2C642A-0A70-4FEC-93B9-0E754E9A8115}"/>
            </a:ext>
          </a:extLst>
        </xdr:cNvPr>
        <xdr:cNvGrpSpPr/>
      </xdr:nvGrpSpPr>
      <xdr:grpSpPr>
        <a:xfrm>
          <a:off x="12161521" y="2155568"/>
          <a:ext cx="198120" cy="166324"/>
          <a:chOff x="10546080" y="1988819"/>
          <a:chExt cx="304800" cy="243841"/>
        </a:xfrm>
      </xdr:grpSpPr>
      <xdr:sp macro="" textlink="">
        <xdr:nvSpPr>
          <xdr:cNvPr id="141" name="Rectangle 140">
            <a:extLst>
              <a:ext uri="{FF2B5EF4-FFF2-40B4-BE49-F238E27FC236}">
                <a16:creationId xmlns:a16="http://schemas.microsoft.com/office/drawing/2014/main" id="{05A1B28F-E84C-4525-BEFC-856052B6A472}"/>
              </a:ext>
            </a:extLst>
          </xdr:cNvPr>
          <xdr:cNvSpPr/>
        </xdr:nvSpPr>
        <xdr:spPr>
          <a:xfrm>
            <a:off x="10546080" y="1997592"/>
            <a:ext cx="304800" cy="235068"/>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pic>
        <xdr:nvPicPr>
          <xdr:cNvPr id="142" name="Graphic 141" descr="Lightbulb">
            <a:extLst>
              <a:ext uri="{FF2B5EF4-FFF2-40B4-BE49-F238E27FC236}">
                <a16:creationId xmlns:a16="http://schemas.microsoft.com/office/drawing/2014/main" id="{67768140-9AA3-429C-8E4D-AC61EB6947D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0584190" y="1988819"/>
            <a:ext cx="228600" cy="228600"/>
          </a:xfrm>
          <a:prstGeom prst="rect">
            <a:avLst/>
          </a:prstGeom>
        </xdr:spPr>
      </xdr:pic>
    </xdr:grpSp>
    <xdr:clientData/>
  </xdr:twoCellAnchor>
  <xdr:twoCellAnchor>
    <xdr:from>
      <xdr:col>20</xdr:col>
      <xdr:colOff>175260</xdr:colOff>
      <xdr:row>20</xdr:row>
      <xdr:rowOff>160020</xdr:rowOff>
    </xdr:from>
    <xdr:to>
      <xdr:col>20</xdr:col>
      <xdr:colOff>444360</xdr:colOff>
      <xdr:row>22</xdr:row>
      <xdr:rowOff>63360</xdr:rowOff>
    </xdr:to>
    <xdr:pic>
      <xdr:nvPicPr>
        <xdr:cNvPr id="145" name="Graphic 144" descr="Bullseye">
          <a:extLst>
            <a:ext uri="{FF2B5EF4-FFF2-40B4-BE49-F238E27FC236}">
              <a16:creationId xmlns:a16="http://schemas.microsoft.com/office/drawing/2014/main" id="{4398CD0F-8BF0-401C-A987-8B3B9417FB3E}"/>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 uri="{96DAC541-7B7A-43D3-8B79-37D633B846F1}">
              <asvg:svgBlip xmlns:asvg="http://schemas.microsoft.com/office/drawing/2016/SVG/main" r:embed="rId30"/>
            </a:ext>
          </a:extLst>
        </a:blip>
        <a:stretch>
          <a:fillRect/>
        </a:stretch>
      </xdr:blipFill>
      <xdr:spPr>
        <a:xfrm>
          <a:off x="12367260" y="3817620"/>
          <a:ext cx="269100" cy="2691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5.004809837963" backgroundQuery="1" createdVersion="7" refreshedVersion="7" minRefreshableVersion="3" recordCount="0" supportSubquery="1" supportAdvancedDrill="1" xr:uid="{F28E7A48-F41F-4766-9473-0CAD0660F6C6}">
  <cacheSource type="external" connectionId="1"/>
  <cacheFields count="8">
    <cacheField name="[Measures].[Sum of Revenue]" caption="Sum of Revenue" numFmtId="0" hierarchy="24" level="32767"/>
    <cacheField name="[OrdersT].[ProductName].[ProductName]" caption="ProductName" numFmtId="0" hierarchy="10" level="1">
      <sharedItems count="5">
        <s v="Electric Kettle"/>
        <s v="Gaming Headset"/>
        <s v="Printer"/>
        <s v="Smartphone"/>
        <s v="Webcam"/>
      </sharedItems>
    </cacheField>
    <cacheField name="[OrdersT].[Sales Channel].[Sales Channel]" caption="Sales Channel" numFmtId="0" hierarchy="15" level="1">
      <sharedItems count="2">
        <s v="Mid Tier"/>
        <s v="Top Tier"/>
      </sharedItems>
    </cacheField>
    <cacheField name="[Measures].[Average of Revenue]" caption="Average of Revenue" numFmtId="0" hierarchy="26" level="32767"/>
    <cacheField name="[OrdersT].[year].[year]" caption="year" numFmtId="0" hierarchy="3" level="1">
      <sharedItems containsMixedTypes="1" containsNumber="1" containsInteger="1" minValue="2024" maxValue="2025" count="4">
        <n v="2024"/>
        <n v="2025"/>
        <s v="2024" u="1"/>
        <s v="2025" u="1"/>
      </sharedItems>
      <extLst>
        <ext xmlns:x15="http://schemas.microsoft.com/office/spreadsheetml/2010/11/main" uri="{4F2E5C28-24EA-4eb8-9CBF-B6C8F9C3D259}">
          <x15:cachedUniqueNames>
            <x15:cachedUniqueName index="0" name="[OrdersT].[year].&amp;[2024]"/>
            <x15:cachedUniqueName index="1" name="[OrdersT].[year].&amp;[2025]"/>
          </x15:cachedUniqueNames>
        </ext>
      </extLst>
    </cacheField>
    <cacheField name="[Measures].[Sum of Quantity]" caption="Sum of Quantity" numFmtId="0" hierarchy="25" level="32767"/>
    <cacheField name="[Measures].[Count of OrderID]" caption="Count of OrderID" numFmtId="0" hierarchy="28" level="32767"/>
    <cacheField name="[Measures].[Distinct Count of CustomerID]" caption="Distinct Count of CustomerID" numFmtId="0" hierarchy="23" level="32767"/>
  </cacheFields>
  <cacheHierarchies count="29">
    <cacheHierarchy uniqueName="[OrdersT].[OrderID]" caption="OrderID" attribute="1" defaultMemberUniqueName="[OrdersT].[OrderID].[All]" allUniqueName="[OrdersT].[OrderID].[All]" dimensionUniqueName="[OrdersT]" displayFolder="" count="0" memberValueDatatype="20" unbalanced="0"/>
    <cacheHierarchy uniqueName="[OrdersT].[OrderDate]" caption="OrderDate" attribute="1" time="1" defaultMemberUniqueName="[OrdersT].[OrderDate].[All]" allUniqueName="[OrdersT].[OrderDate].[All]" dimensionUniqueName="[OrdersT]" displayFolder="" count="2" memberValueDatatype="7" unbalanced="0"/>
    <cacheHierarchy uniqueName="[OrdersT].[Month]" caption="Month" attribute="1" defaultMemberUniqueName="[OrdersT].[Month].[All]" allUniqueName="[OrdersT].[Month].[All]" dimensionUniqueName="[OrdersT]" displayFolder="" count="0" memberValueDatatype="130" unbalanced="0"/>
    <cacheHierarchy uniqueName="[OrdersT].[year]" caption="year" attribute="1" defaultMemberUniqueName="[OrdersT].[year].[All]" allUniqueName="[OrdersT].[year].[All]" dimensionUniqueName="[OrdersT]" displayFolder="" count="2" memberValueDatatype="20" unbalanced="0">
      <fieldsUsage count="2">
        <fieldUsage x="-1"/>
        <fieldUsage x="4"/>
      </fieldsUsage>
    </cacheHierarchy>
    <cacheHierarchy uniqueName="[OrdersT].[CustomerID]" caption="CustomerID" attribute="1" defaultMemberUniqueName="[OrdersT].[CustomerID].[All]" allUniqueName="[OrdersT].[CustomerID].[All]" dimensionUniqueName="[OrdersT]" displayFolder="" count="0" memberValueDatatype="20" unbalanced="0"/>
    <cacheHierarchy uniqueName="[OrdersT].[FullName]" caption="FullName" attribute="1" defaultMemberUniqueName="[OrdersT].[FullName].[All]" allUniqueName="[OrdersT].[FullName].[All]" dimensionUniqueName="[OrdersT]" displayFolder="" count="0" memberValueDatatype="130" unbalanced="0"/>
    <cacheHierarchy uniqueName="[OrdersT].[Age]" caption="Age" attribute="1" defaultMemberUniqueName="[OrdersT].[Age].[All]" allUniqueName="[OrdersT].[Age].[All]" dimensionUniqueName="[OrdersT]" displayFolder="" count="0" memberValueDatatype="20" unbalanced="0"/>
    <cacheHierarchy uniqueName="[OrdersT].[City]" caption="City" attribute="1" defaultMemberUniqueName="[OrdersT].[City].[All]" allUniqueName="[OrdersT].[City].[All]" dimensionUniqueName="[OrdersT]" displayFolder="" count="0" memberValueDatatype="130" unbalanced="0"/>
    <cacheHierarchy uniqueName="[OrdersT].[Region]" caption="Region" attribute="1" defaultMemberUniqueName="[OrdersT].[Region].[All]" allUniqueName="[OrdersT].[Region].[All]" dimensionUniqueName="[OrdersT]" displayFolder="" count="2" memberValueDatatype="130" unbalanced="0"/>
    <cacheHierarchy uniqueName="[OrdersT].[ProductID]" caption="ProductID" attribute="1" defaultMemberUniqueName="[OrdersT].[ProductID].[All]" allUniqueName="[OrdersT].[ProductID].[All]" dimensionUniqueName="[OrdersT]" displayFolder="" count="0" memberValueDatatype="20" unbalanced="0"/>
    <cacheHierarchy uniqueName="[OrdersT].[ProductName]" caption="ProductName" attribute="1" defaultMemberUniqueName="[OrdersT].[ProductName].[All]" allUniqueName="[OrdersT].[ProductName].[All]" dimensionUniqueName="[OrdersT]" displayFolder="" count="2" memberValueDatatype="130" unbalanced="0">
      <fieldsUsage count="2">
        <fieldUsage x="-1"/>
        <fieldUsage x="1"/>
      </fieldsUsage>
    </cacheHierarchy>
    <cacheHierarchy uniqueName="[OrdersT].[Category]" caption="Category" attribute="1" defaultMemberUniqueName="[OrdersT].[Category].[All]" allUniqueName="[OrdersT].[Category].[All]" dimensionUniqueName="[OrdersT]" displayFolder="" count="2" memberValueDatatype="130" unbalanced="0"/>
    <cacheHierarchy uniqueName="[OrdersT].[Price]" caption="Price" attribute="1" defaultMemberUniqueName="[OrdersT].[Price].[All]" allUniqueName="[OrdersT].[Price].[All]" dimensionUniqueName="[OrdersT]" displayFolder="" count="0" memberValueDatatype="5" unbalanced="0"/>
    <cacheHierarchy uniqueName="[OrdersT].[Quantity]" caption="Quantity" attribute="1" defaultMemberUniqueName="[OrdersT].[Quantity].[All]" allUniqueName="[OrdersT].[Quantity].[All]" dimensionUniqueName="[OrdersT]" displayFolder="" count="0" memberValueDatatype="20" unbalanced="0"/>
    <cacheHierarchy uniqueName="[OrdersT].[Revenue]" caption="Revenue" attribute="1" defaultMemberUniqueName="[OrdersT].[Revenue].[All]" allUniqueName="[OrdersT].[Revenue].[All]" dimensionUniqueName="[OrdersT]" displayFolder="" count="0" memberValueDatatype="5" unbalanced="0"/>
    <cacheHierarchy uniqueName="[OrdersT].[Sales Channel]" caption="Sales Channel" attribute="1" defaultMemberUniqueName="[OrdersT].[Sales Channel].[All]" allUniqueName="[OrdersT].[Sales Channel].[All]" dimensionUniqueName="[OrdersT]" displayFolder="" count="2" memberValueDatatype="130" unbalanced="0">
      <fieldsUsage count="2">
        <fieldUsage x="-1"/>
        <fieldUsage x="2"/>
      </fieldsUsage>
    </cacheHierarchy>
    <cacheHierarchy uniqueName="[OrdersT].[OrderDate (Year)]" caption="OrderDate (Year)" attribute="1" defaultMemberUniqueName="[OrdersT].[OrderDate (Year)].[All]" allUniqueName="[OrdersT].[OrderDate (Year)].[All]" dimensionUniqueName="[OrdersT]" displayFolder="" count="0" memberValueDatatype="130" unbalanced="0"/>
    <cacheHierarchy uniqueName="[OrdersT].[OrderDate (Quarter)]" caption="OrderDate (Quarter)" attribute="1" defaultMemberUniqueName="[OrdersT].[OrderDate (Quarter)].[All]" allUniqueName="[OrdersT].[OrderDate (Quarter)].[All]" dimensionUniqueName="[OrdersT]" displayFolder="" count="0" memberValueDatatype="130" unbalanced="0"/>
    <cacheHierarchy uniqueName="[OrdersT].[OrderDate (Month)]" caption="OrderDate (Month)" attribute="1" defaultMemberUniqueName="[OrdersT].[OrderDate (Month)].[All]" allUniqueName="[OrdersT].[OrderDate (Month)].[All]" dimensionUniqueName="[OrdersT]" displayFolder="" count="0" memberValueDatatype="130" unbalanced="0"/>
    <cacheHierarchy uniqueName="[OrdersT].[OrderDate (Month Index)]" caption="OrderDate (Month Index)" attribute="1" defaultMemberUniqueName="[OrdersT].[OrderDate (Month Index)].[All]" allUniqueName="[OrdersT].[OrderDate (Month Index)].[All]" dimensionUniqueName="[OrdersT]" displayFolder="" count="0" memberValueDatatype="20" unbalanced="0" hidden="1"/>
    <cacheHierarchy uniqueName="[Measures].[__XL_Count OrdersT]" caption="__XL_Count OrdersT" measure="1" displayFolder="" measureGroup="OrdersT" count="0" hidden="1"/>
    <cacheHierarchy uniqueName="[Measures].[__No measures defined]" caption="__No measures defined" measure="1" displayFolder="" count="0" hidden="1"/>
    <cacheHierarchy uniqueName="[Measures].[Sum of CustomerID]" caption="Sum of CustomerID" measure="1" displayFolder="" measureGroup="OrdersT" count="0" hidden="1">
      <extLst>
        <ext xmlns:x15="http://schemas.microsoft.com/office/spreadsheetml/2010/11/main" uri="{B97F6D7D-B522-45F9-BDA1-12C45D357490}">
          <x15:cacheHierarchy aggregatedColumn="4"/>
        </ext>
      </extLst>
    </cacheHierarchy>
    <cacheHierarchy uniqueName="[Measures].[Distinct Count of CustomerID]" caption="Distinct Count of CustomerID" measure="1" displayFolder="" measureGroup="OrdersT" count="0" oneField="1" hidden="1">
      <fieldsUsage count="1">
        <fieldUsage x="7"/>
      </fieldsUsage>
      <extLst>
        <ext xmlns:x15="http://schemas.microsoft.com/office/spreadsheetml/2010/11/main" uri="{B97F6D7D-B522-45F9-BDA1-12C45D357490}">
          <x15:cacheHierarchy aggregatedColumn="4"/>
        </ext>
      </extLst>
    </cacheHierarchy>
    <cacheHierarchy uniqueName="[Measures].[Sum of Revenue]" caption="Sum of Revenue" measure="1" displayFolder="" measureGroup="OrdersT"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T" count="0" oneField="1" hidden="1">
      <fieldsUsage count="1">
        <fieldUsage x="5"/>
      </fieldsUsage>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OrdersT"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OrderID]" caption="Sum of OrderID" measure="1" displayFolder="" measureGroup="OrdersT"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OrdersT" count="0" oneField="1" hidden="1">
      <fieldsUsage count="1">
        <fieldUsage x="6"/>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OrdersT" uniqueName="[OrdersT]" caption="OrdersT"/>
  </dimensions>
  <measureGroups count="1">
    <measureGroup name="OrdersT" caption="Orders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5.014525462961" backgroundQuery="1" createdVersion="7" refreshedVersion="7" minRefreshableVersion="3" recordCount="0" supportSubquery="1" supportAdvancedDrill="1" xr:uid="{8190E646-2465-4207-808E-89041C8FFB18}">
  <cacheSource type="external" connectionId="1"/>
  <cacheFields count="5">
    <cacheField name="[Measures].[Sum of Revenue]" caption="Sum of Revenue" numFmtId="0" hierarchy="24" level="32767"/>
    <cacheField name="[OrdersT].[OrderDate].[OrderDate]" caption="OrderDate" numFmtId="0" hierarchy="1" level="1">
      <sharedItems containsSemiMixedTypes="0" containsNonDate="0" containsDate="1" containsString="0" minDate="2024-01-03T00:00:00" maxDate="2025-12-28T00:00:00" count="367">
        <d v="2024-01-03T00:00:00"/>
        <d v="2024-01-07T00:00:00"/>
        <d v="2024-01-09T00:00:00"/>
        <d v="2024-01-11T00:00:00"/>
        <d v="2024-01-15T00:00:00"/>
        <d v="2024-01-16T00:00:00"/>
        <d v="2024-01-17T00:00:00"/>
        <d v="2024-01-18T00:00:00"/>
        <d v="2024-01-21T00:00:00"/>
        <d v="2024-01-22T00:00:00"/>
        <d v="2024-01-23T00:00:00"/>
        <d v="2024-01-26T00:00:00"/>
        <d v="2024-01-27T00:00:00"/>
        <d v="2024-01-28T00:00:00"/>
        <d v="2024-01-30T00:00:00"/>
        <d v="2024-02-01T00:00:00"/>
        <d v="2024-02-03T00:00:00"/>
        <d v="2024-02-04T00:00:00"/>
        <d v="2024-02-06T00:00:00"/>
        <d v="2024-02-07T00:00:00"/>
        <d v="2024-02-10T00:00:00"/>
        <d v="2024-02-16T00:00:00"/>
        <d v="2024-02-20T00:00:00"/>
        <d v="2024-02-22T00:00:00"/>
        <d v="2024-02-24T00:00:00"/>
        <d v="2024-02-25T00:00:00"/>
        <d v="2024-03-02T00:00:00"/>
        <d v="2024-03-03T00:00:00"/>
        <d v="2024-03-04T00:00:00"/>
        <d v="2024-03-06T00:00:00"/>
        <d v="2024-03-08T00:00:00"/>
        <d v="2024-03-09T00:00:00"/>
        <d v="2024-03-11T00:00:00"/>
        <d v="2024-03-16T00:00:00"/>
        <d v="2024-03-17T00:00:00"/>
        <d v="2024-03-20T00:00:00"/>
        <d v="2024-03-23T00:00:00"/>
        <d v="2024-03-24T00:00:00"/>
        <d v="2024-03-28T00:00:00"/>
        <d v="2024-03-29T00:00:00"/>
        <d v="2024-03-31T00:00:00"/>
        <d v="2024-04-02T00:00:00"/>
        <d v="2024-04-03T00:00:00"/>
        <d v="2024-04-07T00:00:00"/>
        <d v="2024-04-09T00:00:00"/>
        <d v="2024-04-10T00:00:00"/>
        <d v="2024-04-11T00:00:00"/>
        <d v="2024-04-12T00:00:00"/>
        <d v="2024-04-14T00:00:00"/>
        <d v="2024-04-15T00:00:00"/>
        <d v="2024-04-17T00:00:00"/>
        <d v="2024-04-18T00:00:00"/>
        <d v="2024-04-20T00:00:00"/>
        <d v="2024-04-21T00:00:00"/>
        <d v="2024-04-26T00:00:00"/>
        <d v="2024-04-27T00:00:00"/>
        <d v="2024-04-28T00:00:00"/>
        <d v="2024-04-29T00:00:00"/>
        <d v="2024-05-02T00:00:00"/>
        <d v="2024-05-05T00:00:00"/>
        <d v="2024-05-08T00:00:00"/>
        <d v="2024-05-09T00:00:00"/>
        <d v="2024-05-10T00:00:00"/>
        <d v="2024-05-14T00:00:00"/>
        <d v="2024-05-18T00:00:00"/>
        <d v="2024-05-19T00:00:00"/>
        <d v="2024-05-20T00:00:00"/>
        <d v="2024-05-24T00:00:00"/>
        <d v="2024-05-25T00:00:00"/>
        <d v="2024-05-27T00:00:00"/>
        <d v="2024-05-28T00:00:00"/>
        <d v="2024-05-29T00:00:00"/>
        <d v="2024-05-31T00:00:00"/>
        <d v="2024-06-01T00:00:00"/>
        <d v="2024-06-03T00:00:00"/>
        <d v="2024-06-04T00:00:00"/>
        <d v="2024-06-05T00:00:00"/>
        <d v="2024-06-07T00:00:00"/>
        <d v="2024-06-09T00:00:00"/>
        <d v="2024-06-10T00:00:00"/>
        <d v="2024-06-11T00:00:00"/>
        <d v="2024-06-18T00:00:00"/>
        <d v="2024-06-27T00:00:00"/>
        <d v="2024-06-28T00:00:00"/>
        <d v="2024-06-29T00:00:00"/>
        <d v="2024-07-03T00:00:00"/>
        <d v="2024-07-04T00:00:00"/>
        <d v="2024-07-05T00:00:00"/>
        <d v="2024-07-07T00:00:00"/>
        <d v="2024-07-08T00:00:00"/>
        <d v="2024-07-12T00:00:00"/>
        <d v="2024-07-14T00:00:00"/>
        <d v="2024-07-16T00:00:00"/>
        <d v="2024-07-21T00:00:00"/>
        <d v="2024-07-22T00:00:00"/>
        <d v="2024-07-23T00:00:00"/>
        <d v="2024-07-24T00:00:00"/>
        <d v="2024-07-29T00:00:00"/>
        <d v="2024-08-05T00:00:00"/>
        <d v="2024-08-07T00:00:00"/>
        <d v="2024-08-08T00:00:00"/>
        <d v="2024-08-09T00:00:00"/>
        <d v="2024-08-11T00:00:00"/>
        <d v="2024-08-12T00:00:00"/>
        <d v="2024-08-13T00:00:00"/>
        <d v="2024-08-17T00:00:00"/>
        <d v="2024-08-18T00:00:00"/>
        <d v="2024-08-19T00:00:00"/>
        <d v="2024-08-23T00:00:00"/>
        <d v="2024-08-24T00:00:00"/>
        <d v="2024-08-25T00:00:00"/>
        <d v="2024-08-26T00:00:00"/>
        <d v="2024-08-27T00:00:00"/>
        <d v="2024-08-28T00:00:00"/>
        <d v="2024-08-29T00:00:00"/>
        <d v="2024-08-30T00:00:00"/>
        <d v="2024-09-01T00:00:00"/>
        <d v="2024-09-02T00:00:00"/>
        <d v="2024-09-03T00:00:00"/>
        <d v="2024-09-04T00:00:00"/>
        <d v="2024-09-06T00:00:00"/>
        <d v="2024-09-11T00:00:00"/>
        <d v="2024-09-13T00:00:00"/>
        <d v="2024-09-15T00:00:00"/>
        <d v="2024-09-20T00:00:00"/>
        <d v="2024-09-22T00:00:00"/>
        <d v="2024-09-23T00:00:00"/>
        <d v="2024-09-27T00:00:00"/>
        <d v="2024-09-28T00:00:00"/>
        <d v="2024-09-30T00:00:00"/>
        <d v="2024-10-03T00:00:00"/>
        <d v="2024-10-05T00:00:00"/>
        <d v="2024-10-06T00:00:00"/>
        <d v="2024-10-08T00:00:00"/>
        <d v="2024-10-09T00:00:00"/>
        <d v="2024-10-11T00:00:00"/>
        <d v="2024-10-12T00:00:00"/>
        <d v="2024-10-16T00:00:00"/>
        <d v="2024-10-19T00:00:00"/>
        <d v="2024-10-21T00:00:00"/>
        <d v="2024-10-22T00:00:00"/>
        <d v="2024-10-25T00:00:00"/>
        <d v="2024-10-27T00:00:00"/>
        <d v="2024-10-28T00:00:00"/>
        <d v="2024-10-29T00:00:00"/>
        <d v="2024-10-30T00:00:00"/>
        <d v="2024-10-31T00:00:00"/>
        <d v="2024-11-01T00:00:00"/>
        <d v="2024-11-04T00:00:00"/>
        <d v="2024-11-05T00:00:00"/>
        <d v="2024-11-07T00:00:00"/>
        <d v="2024-11-09T00:00:00"/>
        <d v="2024-11-10T00:00:00"/>
        <d v="2024-11-12T00:00:00"/>
        <d v="2024-11-14T00:00:00"/>
        <d v="2024-11-15T00:00:00"/>
        <d v="2024-11-21T00:00:00"/>
        <d v="2024-11-23T00:00:00"/>
        <d v="2024-11-24T00:00:00"/>
        <d v="2024-11-26T00:00:00"/>
        <d v="2024-11-28T00:00:00"/>
        <d v="2024-12-01T00:00:00"/>
        <d v="2024-12-03T00:00:00"/>
        <d v="2024-12-04T00:00:00"/>
        <d v="2024-12-05T00:00:00"/>
        <d v="2024-12-06T00:00:00"/>
        <d v="2024-12-07T00:00:00"/>
        <d v="2024-12-10T00:00:00"/>
        <d v="2024-12-11T00:00:00"/>
        <d v="2024-12-12T00:00:00"/>
        <d v="2024-12-14T00:00:00"/>
        <d v="2024-12-15T00:00:00"/>
        <d v="2024-12-18T00:00:00"/>
        <d v="2024-12-21T00:00:00"/>
        <d v="2024-12-24T00:00:00"/>
        <d v="2024-12-26T00:00:00"/>
        <d v="2024-12-29T00:00:00"/>
        <d v="2025-01-01T00:00:00"/>
        <d v="2025-01-04T00:00:00"/>
        <d v="2025-01-05T00:00:00"/>
        <d v="2025-01-08T00:00:00"/>
        <d v="2025-01-11T00:00:00"/>
        <d v="2025-01-12T00:00:00"/>
        <d v="2025-01-14T00:00:00"/>
        <d v="2025-01-16T00:00:00"/>
        <d v="2025-01-18T00:00:00"/>
        <d v="2025-01-23T00:00:00"/>
        <d v="2025-01-24T00:00:00"/>
        <d v="2025-01-25T00:00:00"/>
        <d v="2025-01-27T00:00:00"/>
        <d v="2025-02-07T00:00:00"/>
        <d v="2025-02-09T00:00:00"/>
        <d v="2025-02-10T00:00:00"/>
        <d v="2025-02-11T00:00:00"/>
        <d v="2025-02-14T00:00:00"/>
        <d v="2025-02-15T00:00:00"/>
        <d v="2025-02-16T00:00:00"/>
        <d v="2025-02-18T00:00:00"/>
        <d v="2025-02-20T00:00:00"/>
        <d v="2025-02-21T00:00:00"/>
        <d v="2025-02-22T00:00:00"/>
        <d v="2025-02-24T00:00:00"/>
        <d v="2025-02-27T00:00:00"/>
        <d v="2025-02-28T00:00:00"/>
        <d v="2025-03-01T00:00:00"/>
        <d v="2025-03-05T00:00:00"/>
        <d v="2025-03-06T00:00:00"/>
        <d v="2025-03-07T00:00:00"/>
        <d v="2025-03-13T00:00:00"/>
        <d v="2025-03-14T00:00:00"/>
        <d v="2025-03-15T00:00:00"/>
        <d v="2025-03-16T00:00:00"/>
        <d v="2025-03-18T00:00:00"/>
        <d v="2025-03-22T00:00:00"/>
        <d v="2025-03-24T00:00:00"/>
        <d v="2025-03-25T00:00:00"/>
        <d v="2025-03-26T00:00:00"/>
        <d v="2025-03-27T00:00:00"/>
        <d v="2025-03-28T00:00:00"/>
        <d v="2025-03-30T00:00:00"/>
        <d v="2025-04-02T00:00:00"/>
        <d v="2025-04-04T00:00:00"/>
        <d v="2025-04-06T00:00:00"/>
        <d v="2025-04-07T00:00:00"/>
        <d v="2025-04-09T00:00:00"/>
        <d v="2025-04-10T00:00:00"/>
        <d v="2025-04-11T00:00:00"/>
        <d v="2025-04-12T00:00:00"/>
        <d v="2025-04-15T00:00:00"/>
        <d v="2025-04-17T00:00:00"/>
        <d v="2025-04-18T00:00:00"/>
        <d v="2025-04-20T00:00:00"/>
        <d v="2025-04-21T00:00:00"/>
        <d v="2025-04-22T00:00:00"/>
        <d v="2025-04-24T00:00:00"/>
        <d v="2025-04-25T00:00:00"/>
        <d v="2025-04-26T00:00:00"/>
        <d v="2025-04-28T00:00:00"/>
        <d v="2025-04-29T00:00:00"/>
        <d v="2025-05-01T00:00:00"/>
        <d v="2025-05-09T00:00:00"/>
        <d v="2025-05-10T00:00:00"/>
        <d v="2025-05-11T00:00:00"/>
        <d v="2025-05-14T00:00:00"/>
        <d v="2025-05-16T00:00:00"/>
        <d v="2025-05-17T00:00:00"/>
        <d v="2025-05-18T00:00:00"/>
        <d v="2025-05-20T00:00:00"/>
        <d v="2025-05-23T00:00:00"/>
        <d v="2025-05-25T00:00:00"/>
        <d v="2025-05-27T00:00:00"/>
        <d v="2025-05-29T00:00:00"/>
        <d v="2025-05-30T00:00:00"/>
        <d v="2025-05-31T00:00:00"/>
        <d v="2025-06-01T00:00:00"/>
        <d v="2025-06-02T00:00:00"/>
        <d v="2025-06-04T00:00:00"/>
        <d v="2025-06-09T00:00:00"/>
        <d v="2025-06-10T00:00:00"/>
        <d v="2025-06-14T00:00:00"/>
        <d v="2025-06-15T00:00:00"/>
        <d v="2025-06-17T00:00:00"/>
        <d v="2025-06-18T00:00:00"/>
        <d v="2025-06-19T00:00:00"/>
        <d v="2025-06-22T00:00:00"/>
        <d v="2025-06-27T00:00:00"/>
        <d v="2025-06-30T00:00:00"/>
        <d v="2025-07-02T00:00:00"/>
        <d v="2025-07-03T00:00:00"/>
        <d v="2025-07-05T00:00:00"/>
        <d v="2025-07-06T00:00:00"/>
        <d v="2025-07-07T00:00:00"/>
        <d v="2025-07-10T00:00:00"/>
        <d v="2025-07-13T00:00:00"/>
        <d v="2025-07-15T00:00:00"/>
        <d v="2025-07-17T00:00:00"/>
        <d v="2025-07-18T00:00:00"/>
        <d v="2025-07-19T00:00:00"/>
        <d v="2025-07-20T00:00:00"/>
        <d v="2025-07-21T00:00:00"/>
        <d v="2025-07-22T00:00:00"/>
        <d v="2025-07-23T00:00:00"/>
        <d v="2025-07-24T00:00:00"/>
        <d v="2025-07-25T00:00:00"/>
        <d v="2025-07-28T00:00:00"/>
        <d v="2025-07-29T00:00:00"/>
        <d v="2025-07-31T00:00:00"/>
        <d v="2025-08-02T00:00:00"/>
        <d v="2025-08-05T00:00:00"/>
        <d v="2025-08-08T00:00:00"/>
        <d v="2025-08-10T00:00:00"/>
        <d v="2025-08-11T00:00:00"/>
        <d v="2025-08-13T00:00:00"/>
        <d v="2025-08-14T00:00:00"/>
        <d v="2025-08-15T00:00:00"/>
        <d v="2025-08-16T00:00:00"/>
        <d v="2025-08-20T00:00:00"/>
        <d v="2025-08-21T00:00:00"/>
        <d v="2025-08-23T00:00:00"/>
        <d v="2025-08-24T00:00:00"/>
        <d v="2025-08-25T00:00:00"/>
        <d v="2025-08-26T00:00:00"/>
        <d v="2025-08-29T00:00:00"/>
        <d v="2025-09-02T00:00:00"/>
        <d v="2025-09-03T00:00:00"/>
        <d v="2025-09-06T00:00:00"/>
        <d v="2025-09-12T00:00:00"/>
        <d v="2025-09-14T00:00:00"/>
        <d v="2025-09-15T00:00:00"/>
        <d v="2025-09-16T00:00:00"/>
        <d v="2025-09-20T00:00:00"/>
        <d v="2025-09-21T00:00:00"/>
        <d v="2025-09-25T00:00:00"/>
        <d v="2025-09-26T00:00:00"/>
        <d v="2025-09-27T00:00:00"/>
        <d v="2025-09-28T00:00:00"/>
        <d v="2025-09-29T00:00:00"/>
        <d v="2025-09-30T00:00:00"/>
        <d v="2025-10-02T00:00:00"/>
        <d v="2025-10-03T00:00:00"/>
        <d v="2025-10-04T00:00:00"/>
        <d v="2025-10-06T00:00:00"/>
        <d v="2025-10-08T00:00:00"/>
        <d v="2025-10-10T00:00:00"/>
        <d v="2025-10-12T00:00:00"/>
        <d v="2025-10-13T00:00:00"/>
        <d v="2025-10-14T00:00:00"/>
        <d v="2025-10-15T00:00:00"/>
        <d v="2025-10-16T00:00:00"/>
        <d v="2025-10-20T00:00:00"/>
        <d v="2025-10-22T00:00:00"/>
        <d v="2025-10-23T00:00:00"/>
        <d v="2025-10-25T00:00:00"/>
        <d v="2025-10-26T00:00:00"/>
        <d v="2025-10-27T00:00:00"/>
        <d v="2025-10-29T00:00:00"/>
        <d v="2025-11-01T00:00:00"/>
        <d v="2025-11-03T00:00:00"/>
        <d v="2025-11-04T00:00:00"/>
        <d v="2025-11-05T00:00:00"/>
        <d v="2025-11-06T00:00:00"/>
        <d v="2025-11-07T00:00:00"/>
        <d v="2025-11-10T00:00:00"/>
        <d v="2025-11-12T00:00:00"/>
        <d v="2025-11-13T00:00:00"/>
        <d v="2025-11-17T00:00:00"/>
        <d v="2025-11-19T00:00:00"/>
        <d v="2025-11-21T00:00:00"/>
        <d v="2025-11-23T00:00:00"/>
        <d v="2025-11-24T00:00:00"/>
        <d v="2025-11-25T00:00:00"/>
        <d v="2025-11-26T00:00:00"/>
        <d v="2025-12-03T00:00:00"/>
        <d v="2025-12-04T00:00:00"/>
        <d v="2025-12-06T00:00:00"/>
        <d v="2025-12-07T00:00:00"/>
        <d v="2025-12-08T00:00:00"/>
        <d v="2025-12-11T00:00:00"/>
        <d v="2025-12-14T00:00:00"/>
        <d v="2025-12-15T00:00:00"/>
        <d v="2025-12-17T00:00:00"/>
        <d v="2025-12-18T00:00:00"/>
        <d v="2025-12-19T00:00:00"/>
        <d v="2025-12-21T00:00:00"/>
        <d v="2025-12-23T00:00:00"/>
        <d v="2025-12-26T00:00:00"/>
        <d v="2025-12-27T00:00:00"/>
      </sharedItems>
    </cacheField>
    <cacheField name="[OrdersT].[OrderDate (Month)].[OrderDate (Month)]" caption="OrderDate (Month)" numFmtId="0" hierarchy="18" level="1">
      <sharedItems containsNonDate="0" count="12">
        <s v="Jan"/>
        <s v="Feb"/>
        <s v="Mar"/>
        <s v="Apr"/>
        <s v="May"/>
        <s v="Jun"/>
        <s v="Jul"/>
        <s v="Aug"/>
        <s v="Sep"/>
        <s v="Oct"/>
        <s v="Nov"/>
        <s v="Dec"/>
      </sharedItems>
    </cacheField>
    <cacheField name="[OrdersT].[OrderDate (Quarter)].[OrderDate (Quarter)]" caption="OrderDate (Quarter)" numFmtId="0" hierarchy="17" level="1">
      <sharedItems containsNonDate="0" count="4">
        <s v="Qtr1"/>
        <s v="Qtr2"/>
        <s v="Qtr3"/>
        <s v="Qtr4"/>
      </sharedItems>
    </cacheField>
    <cacheField name="[OrdersT].[OrderDate (Year)].[OrderDate (Year)]" caption="OrderDate (Year)" numFmtId="0" hierarchy="16" level="1">
      <sharedItems count="2">
        <s v="2024"/>
        <s v="2025"/>
      </sharedItems>
    </cacheField>
  </cacheFields>
  <cacheHierarchies count="29">
    <cacheHierarchy uniqueName="[OrdersT].[OrderID]" caption="OrderID" attribute="1" defaultMemberUniqueName="[OrdersT].[OrderID].[All]" allUniqueName="[OrdersT].[OrderID].[All]" dimensionUniqueName="[OrdersT]" displayFolder="" count="0" memberValueDatatype="20" unbalanced="0"/>
    <cacheHierarchy uniqueName="[OrdersT].[OrderDate]" caption="OrderDate" attribute="1" time="1" defaultMemberUniqueName="[OrdersT].[OrderDate].[All]" allUniqueName="[OrdersT].[OrderDate].[All]" dimensionUniqueName="[OrdersT]" displayFolder="" count="2" memberValueDatatype="7" unbalanced="0">
      <fieldsUsage count="2">
        <fieldUsage x="-1"/>
        <fieldUsage x="1"/>
      </fieldsUsage>
    </cacheHierarchy>
    <cacheHierarchy uniqueName="[OrdersT].[Month]" caption="Month" attribute="1" defaultMemberUniqueName="[OrdersT].[Month].[All]" allUniqueName="[OrdersT].[Month].[All]" dimensionUniqueName="[OrdersT]" displayFolder="" count="0" memberValueDatatype="130" unbalanced="0"/>
    <cacheHierarchy uniqueName="[OrdersT].[year]" caption="year" attribute="1" defaultMemberUniqueName="[OrdersT].[year].[All]" allUniqueName="[OrdersT].[year].[All]" dimensionUniqueName="[OrdersT]" displayFolder="" count="0" memberValueDatatype="20" unbalanced="0"/>
    <cacheHierarchy uniqueName="[OrdersT].[CustomerID]" caption="CustomerID" attribute="1" defaultMemberUniqueName="[OrdersT].[CustomerID].[All]" allUniqueName="[OrdersT].[CustomerID].[All]" dimensionUniqueName="[OrdersT]" displayFolder="" count="0" memberValueDatatype="20" unbalanced="0"/>
    <cacheHierarchy uniqueName="[OrdersT].[FullName]" caption="FullName" attribute="1" defaultMemberUniqueName="[OrdersT].[FullName].[All]" allUniqueName="[OrdersT].[FullName].[All]" dimensionUniqueName="[OrdersT]" displayFolder="" count="0" memberValueDatatype="130" unbalanced="0"/>
    <cacheHierarchy uniqueName="[OrdersT].[Age]" caption="Age" attribute="1" defaultMemberUniqueName="[OrdersT].[Age].[All]" allUniqueName="[OrdersT].[Age].[All]" dimensionUniqueName="[OrdersT]" displayFolder="" count="0" memberValueDatatype="20" unbalanced="0"/>
    <cacheHierarchy uniqueName="[OrdersT].[City]" caption="City" attribute="1" defaultMemberUniqueName="[OrdersT].[City].[All]" allUniqueName="[OrdersT].[City].[All]" dimensionUniqueName="[OrdersT]" displayFolder="" count="0" memberValueDatatype="130" unbalanced="0"/>
    <cacheHierarchy uniqueName="[OrdersT].[Region]" caption="Region" attribute="1" defaultMemberUniqueName="[OrdersT].[Region].[All]" allUniqueName="[OrdersT].[Region].[All]" dimensionUniqueName="[OrdersT]" displayFolder="" count="2" memberValueDatatype="130" unbalanced="0"/>
    <cacheHierarchy uniqueName="[OrdersT].[ProductID]" caption="ProductID" attribute="1" defaultMemberUniqueName="[OrdersT].[ProductID].[All]" allUniqueName="[OrdersT].[ProductID].[All]" dimensionUniqueName="[OrdersT]" displayFolder="" count="0" memberValueDatatype="20" unbalanced="0"/>
    <cacheHierarchy uniqueName="[OrdersT].[ProductName]" caption="ProductName" attribute="1" defaultMemberUniqueName="[OrdersT].[ProductName].[All]" allUniqueName="[OrdersT].[ProductName].[All]" dimensionUniqueName="[OrdersT]" displayFolder="" count="0" memberValueDatatype="130" unbalanced="0"/>
    <cacheHierarchy uniqueName="[OrdersT].[Category]" caption="Category" attribute="1" defaultMemberUniqueName="[OrdersT].[Category].[All]" allUniqueName="[OrdersT].[Category].[All]" dimensionUniqueName="[OrdersT]" displayFolder="" count="2" memberValueDatatype="130" unbalanced="0"/>
    <cacheHierarchy uniqueName="[OrdersT].[Price]" caption="Price" attribute="1" defaultMemberUniqueName="[OrdersT].[Price].[All]" allUniqueName="[OrdersT].[Price].[All]" dimensionUniqueName="[OrdersT]" displayFolder="" count="0" memberValueDatatype="5" unbalanced="0"/>
    <cacheHierarchy uniqueName="[OrdersT].[Quantity]" caption="Quantity" attribute="1" defaultMemberUniqueName="[OrdersT].[Quantity].[All]" allUniqueName="[OrdersT].[Quantity].[All]" dimensionUniqueName="[OrdersT]" displayFolder="" count="0" memberValueDatatype="20" unbalanced="0"/>
    <cacheHierarchy uniqueName="[OrdersT].[Revenue]" caption="Revenue" attribute="1" defaultMemberUniqueName="[OrdersT].[Revenue].[All]" allUniqueName="[OrdersT].[Revenue].[All]" dimensionUniqueName="[OrdersT]" displayFolder="" count="0" memberValueDatatype="5" unbalanced="0"/>
    <cacheHierarchy uniqueName="[OrdersT].[Sales Channel]" caption="Sales Channel" attribute="1" defaultMemberUniqueName="[OrdersT].[Sales Channel].[All]" allUniqueName="[OrdersT].[Sales Channel].[All]" dimensionUniqueName="[OrdersT]" displayFolder="" count="2" memberValueDatatype="130" unbalanced="0"/>
    <cacheHierarchy uniqueName="[OrdersT].[OrderDate (Year)]" caption="OrderDate (Year)" attribute="1" defaultMemberUniqueName="[OrdersT].[OrderDate (Year)].[All]" allUniqueName="[OrdersT].[OrderDate (Year)].[All]" dimensionUniqueName="[OrdersT]" displayFolder="" count="2" memberValueDatatype="130" unbalanced="0">
      <fieldsUsage count="2">
        <fieldUsage x="-1"/>
        <fieldUsage x="4"/>
      </fieldsUsage>
    </cacheHierarchy>
    <cacheHierarchy uniqueName="[OrdersT].[OrderDate (Quarter)]" caption="OrderDate (Quarter)" attribute="1" defaultMemberUniqueName="[OrdersT].[OrderDate (Quarter)].[All]" allUniqueName="[OrdersT].[OrderDate (Quarter)].[All]" dimensionUniqueName="[OrdersT]" displayFolder="" count="2" memberValueDatatype="130" unbalanced="0">
      <fieldsUsage count="2">
        <fieldUsage x="-1"/>
        <fieldUsage x="3"/>
      </fieldsUsage>
    </cacheHierarchy>
    <cacheHierarchy uniqueName="[OrdersT].[OrderDate (Month)]" caption="OrderDate (Month)" attribute="1" defaultMemberUniqueName="[OrdersT].[OrderDate (Month)].[All]" allUniqueName="[OrdersT].[OrderDate (Month)].[All]" dimensionUniqueName="[OrdersT]" displayFolder="" count="2" memberValueDatatype="130" unbalanced="0">
      <fieldsUsage count="2">
        <fieldUsage x="-1"/>
        <fieldUsage x="2"/>
      </fieldsUsage>
    </cacheHierarchy>
    <cacheHierarchy uniqueName="[OrdersT].[OrderDate (Month Index)]" caption="OrderDate (Month Index)" attribute="1" defaultMemberUniqueName="[OrdersT].[OrderDate (Month Index)].[All]" allUniqueName="[OrdersT].[OrderDate (Month Index)].[All]" dimensionUniqueName="[OrdersT]" displayFolder="" count="0" memberValueDatatype="20" unbalanced="0" hidden="1"/>
    <cacheHierarchy uniqueName="[Measures].[__XL_Count OrdersT]" caption="__XL_Count OrdersT" measure="1" displayFolder="" measureGroup="OrdersT" count="0" hidden="1"/>
    <cacheHierarchy uniqueName="[Measures].[__No measures defined]" caption="__No measures defined" measure="1" displayFolder="" count="0" hidden="1"/>
    <cacheHierarchy uniqueName="[Measures].[Sum of CustomerID]" caption="Sum of CustomerID" measure="1" displayFolder="" measureGroup="OrdersT" count="0" hidden="1">
      <extLst>
        <ext xmlns:x15="http://schemas.microsoft.com/office/spreadsheetml/2010/11/main" uri="{B97F6D7D-B522-45F9-BDA1-12C45D357490}">
          <x15:cacheHierarchy aggregatedColumn="4"/>
        </ext>
      </extLst>
    </cacheHierarchy>
    <cacheHierarchy uniqueName="[Measures].[Distinct Count of CustomerID]" caption="Distinct Count of CustomerID" measure="1" displayFolder="" measureGroup="OrdersT"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OrdersT"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T" count="0" hidden="1">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OrdersT" count="0" hidden="1">
      <extLst>
        <ext xmlns:x15="http://schemas.microsoft.com/office/spreadsheetml/2010/11/main" uri="{B97F6D7D-B522-45F9-BDA1-12C45D357490}">
          <x15:cacheHierarchy aggregatedColumn="14"/>
        </ext>
      </extLst>
    </cacheHierarchy>
    <cacheHierarchy uniqueName="[Measures].[Sum of OrderID]" caption="Sum of OrderID" measure="1" displayFolder="" measureGroup="OrdersT"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OrdersT"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OrdersT" uniqueName="[OrdersT]" caption="OrdersT"/>
  </dimensions>
  <measureGroups count="1">
    <measureGroup name="OrdersT" caption="Orders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5.014526041668" backgroundQuery="1" createdVersion="7" refreshedVersion="7" minRefreshableVersion="3" recordCount="0" supportSubquery="1" supportAdvancedDrill="1" xr:uid="{3A36D6B2-6C7A-45D4-9058-185B7E12304C}">
  <cacheSource type="external" connectionId="1"/>
  <cacheFields count="2">
    <cacheField name="[OrdersT].[Region].[Region]" caption="Region" numFmtId="0" hierarchy="8" level="1">
      <sharedItems count="5">
        <s v="North Central"/>
        <s v="North West"/>
        <s v="South East"/>
        <s v="South South"/>
        <s v="South West"/>
      </sharedItems>
    </cacheField>
    <cacheField name="[Measures].[Sum of Revenue]" caption="Sum of Revenue" numFmtId="0" hierarchy="24" level="32767"/>
  </cacheFields>
  <cacheHierarchies count="29">
    <cacheHierarchy uniqueName="[OrdersT].[OrderID]" caption="OrderID" attribute="1" defaultMemberUniqueName="[OrdersT].[OrderID].[All]" allUniqueName="[OrdersT].[OrderID].[All]" dimensionUniqueName="[OrdersT]" displayFolder="" count="0" memberValueDatatype="20" unbalanced="0"/>
    <cacheHierarchy uniqueName="[OrdersT].[OrderDate]" caption="OrderDate" attribute="1" time="1" defaultMemberUniqueName="[OrdersT].[OrderDate].[All]" allUniqueName="[OrdersT].[OrderDate].[All]" dimensionUniqueName="[OrdersT]" displayFolder="" count="2" memberValueDatatype="7" unbalanced="0"/>
    <cacheHierarchy uniqueName="[OrdersT].[Month]" caption="Month" attribute="1" defaultMemberUniqueName="[OrdersT].[Month].[All]" allUniqueName="[OrdersT].[Month].[All]" dimensionUniqueName="[OrdersT]" displayFolder="" count="0" memberValueDatatype="130" unbalanced="0"/>
    <cacheHierarchy uniqueName="[OrdersT].[year]" caption="year" attribute="1" defaultMemberUniqueName="[OrdersT].[year].[All]" allUniqueName="[OrdersT].[year].[All]" dimensionUniqueName="[OrdersT]" displayFolder="" count="0" memberValueDatatype="20" unbalanced="0"/>
    <cacheHierarchy uniqueName="[OrdersT].[CustomerID]" caption="CustomerID" attribute="1" defaultMemberUniqueName="[OrdersT].[CustomerID].[All]" allUniqueName="[OrdersT].[CustomerID].[All]" dimensionUniqueName="[OrdersT]" displayFolder="" count="0" memberValueDatatype="20" unbalanced="0"/>
    <cacheHierarchy uniqueName="[OrdersT].[FullName]" caption="FullName" attribute="1" defaultMemberUniqueName="[OrdersT].[FullName].[All]" allUniqueName="[OrdersT].[FullName].[All]" dimensionUniqueName="[OrdersT]" displayFolder="" count="0" memberValueDatatype="130" unbalanced="0"/>
    <cacheHierarchy uniqueName="[OrdersT].[Age]" caption="Age" attribute="1" defaultMemberUniqueName="[OrdersT].[Age].[All]" allUniqueName="[OrdersT].[Age].[All]" dimensionUniqueName="[OrdersT]" displayFolder="" count="0" memberValueDatatype="20" unbalanced="0"/>
    <cacheHierarchy uniqueName="[OrdersT].[City]" caption="City" attribute="1" defaultMemberUniqueName="[OrdersT].[City].[All]" allUniqueName="[OrdersT].[City].[All]" dimensionUniqueName="[OrdersT]" displayFolder="" count="0" memberValueDatatype="130" unbalanced="0"/>
    <cacheHierarchy uniqueName="[OrdersT].[Region]" caption="Region" attribute="1" defaultMemberUniqueName="[OrdersT].[Region].[All]" allUniqueName="[OrdersT].[Region].[All]" dimensionUniqueName="[OrdersT]" displayFolder="" count="2" memberValueDatatype="130" unbalanced="0">
      <fieldsUsage count="2">
        <fieldUsage x="-1"/>
        <fieldUsage x="0"/>
      </fieldsUsage>
    </cacheHierarchy>
    <cacheHierarchy uniqueName="[OrdersT].[ProductID]" caption="ProductID" attribute="1" defaultMemberUniqueName="[OrdersT].[ProductID].[All]" allUniqueName="[OrdersT].[ProductID].[All]" dimensionUniqueName="[OrdersT]" displayFolder="" count="0" memberValueDatatype="20" unbalanced="0"/>
    <cacheHierarchy uniqueName="[OrdersT].[ProductName]" caption="ProductName" attribute="1" defaultMemberUniqueName="[OrdersT].[ProductName].[All]" allUniqueName="[OrdersT].[ProductName].[All]" dimensionUniqueName="[OrdersT]" displayFolder="" count="0" memberValueDatatype="130" unbalanced="0"/>
    <cacheHierarchy uniqueName="[OrdersT].[Category]" caption="Category" attribute="1" defaultMemberUniqueName="[OrdersT].[Category].[All]" allUniqueName="[OrdersT].[Category].[All]" dimensionUniqueName="[OrdersT]" displayFolder="" count="2" memberValueDatatype="130" unbalanced="0"/>
    <cacheHierarchy uniqueName="[OrdersT].[Price]" caption="Price" attribute="1" defaultMemberUniqueName="[OrdersT].[Price].[All]" allUniqueName="[OrdersT].[Price].[All]" dimensionUniqueName="[OrdersT]" displayFolder="" count="0" memberValueDatatype="5" unbalanced="0"/>
    <cacheHierarchy uniqueName="[OrdersT].[Quantity]" caption="Quantity" attribute="1" defaultMemberUniqueName="[OrdersT].[Quantity].[All]" allUniqueName="[OrdersT].[Quantity].[All]" dimensionUniqueName="[OrdersT]" displayFolder="" count="0" memberValueDatatype="20" unbalanced="0"/>
    <cacheHierarchy uniqueName="[OrdersT].[Revenue]" caption="Revenue" attribute="1" defaultMemberUniqueName="[OrdersT].[Revenue].[All]" allUniqueName="[OrdersT].[Revenue].[All]" dimensionUniqueName="[OrdersT]" displayFolder="" count="0" memberValueDatatype="5" unbalanced="0"/>
    <cacheHierarchy uniqueName="[OrdersT].[Sales Channel]" caption="Sales Channel" attribute="1" defaultMemberUniqueName="[OrdersT].[Sales Channel].[All]" allUniqueName="[OrdersT].[Sales Channel].[All]" dimensionUniqueName="[OrdersT]" displayFolder="" count="2" memberValueDatatype="130" unbalanced="0"/>
    <cacheHierarchy uniqueName="[OrdersT].[OrderDate (Year)]" caption="OrderDate (Year)" attribute="1" defaultMemberUniqueName="[OrdersT].[OrderDate (Year)].[All]" allUniqueName="[OrdersT].[OrderDate (Year)].[All]" dimensionUniqueName="[OrdersT]" displayFolder="" count="0" memberValueDatatype="130" unbalanced="0"/>
    <cacheHierarchy uniqueName="[OrdersT].[OrderDate (Quarter)]" caption="OrderDate (Quarter)" attribute="1" defaultMemberUniqueName="[OrdersT].[OrderDate (Quarter)].[All]" allUniqueName="[OrdersT].[OrderDate (Quarter)].[All]" dimensionUniqueName="[OrdersT]" displayFolder="" count="0" memberValueDatatype="130" unbalanced="0"/>
    <cacheHierarchy uniqueName="[OrdersT].[OrderDate (Month)]" caption="OrderDate (Month)" attribute="1" defaultMemberUniqueName="[OrdersT].[OrderDate (Month)].[All]" allUniqueName="[OrdersT].[OrderDate (Month)].[All]" dimensionUniqueName="[OrdersT]" displayFolder="" count="0" memberValueDatatype="130" unbalanced="0"/>
    <cacheHierarchy uniqueName="[OrdersT].[OrderDate (Month Index)]" caption="OrderDate (Month Index)" attribute="1" defaultMemberUniqueName="[OrdersT].[OrderDate (Month Index)].[All]" allUniqueName="[OrdersT].[OrderDate (Month Index)].[All]" dimensionUniqueName="[OrdersT]" displayFolder="" count="0" memberValueDatatype="20" unbalanced="0" hidden="1"/>
    <cacheHierarchy uniqueName="[Measures].[__XL_Count OrdersT]" caption="__XL_Count OrdersT" measure="1" displayFolder="" measureGroup="OrdersT" count="0" hidden="1"/>
    <cacheHierarchy uniqueName="[Measures].[__No measures defined]" caption="__No measures defined" measure="1" displayFolder="" count="0" hidden="1"/>
    <cacheHierarchy uniqueName="[Measures].[Sum of CustomerID]" caption="Sum of CustomerID" measure="1" displayFolder="" measureGroup="OrdersT" count="0" hidden="1">
      <extLst>
        <ext xmlns:x15="http://schemas.microsoft.com/office/spreadsheetml/2010/11/main" uri="{B97F6D7D-B522-45F9-BDA1-12C45D357490}">
          <x15:cacheHierarchy aggregatedColumn="4"/>
        </ext>
      </extLst>
    </cacheHierarchy>
    <cacheHierarchy uniqueName="[Measures].[Distinct Count of CustomerID]" caption="Distinct Count of CustomerID" measure="1" displayFolder="" measureGroup="OrdersT"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OrdersT"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T" count="0" hidden="1">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OrdersT" count="0" hidden="1">
      <extLst>
        <ext xmlns:x15="http://schemas.microsoft.com/office/spreadsheetml/2010/11/main" uri="{B97F6D7D-B522-45F9-BDA1-12C45D357490}">
          <x15:cacheHierarchy aggregatedColumn="14"/>
        </ext>
      </extLst>
    </cacheHierarchy>
    <cacheHierarchy uniqueName="[Measures].[Sum of OrderID]" caption="Sum of OrderID" measure="1" displayFolder="" measureGroup="OrdersT"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OrdersT"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OrdersT" uniqueName="[OrdersT]" caption="OrdersT"/>
  </dimensions>
  <measureGroups count="1">
    <measureGroup name="OrdersT" caption="Orders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5.014526620369" backgroundQuery="1" createdVersion="7" refreshedVersion="7" minRefreshableVersion="3" recordCount="0" supportSubquery="1" supportAdvancedDrill="1" xr:uid="{2826F01D-62E2-457E-93EB-6F096AC74691}">
  <cacheSource type="external" connectionId="1"/>
  <cacheFields count="2">
    <cacheField name="[Measures].[Sum of Revenue]" caption="Sum of Revenue" numFmtId="0" hierarchy="24" level="32767"/>
    <cacheField name="[OrdersT].[Category].[Category]" caption="Category" numFmtId="0" hierarchy="11" level="1">
      <sharedItems count="6">
        <s v="Accessories"/>
        <s v="Electronics"/>
        <s v="Gaming"/>
        <s v="Home Appliances"/>
        <s v="Lifestyle"/>
        <s v="Office"/>
      </sharedItems>
    </cacheField>
  </cacheFields>
  <cacheHierarchies count="29">
    <cacheHierarchy uniqueName="[OrdersT].[OrderID]" caption="OrderID" attribute="1" defaultMemberUniqueName="[OrdersT].[OrderID].[All]" allUniqueName="[OrdersT].[OrderID].[All]" dimensionUniqueName="[OrdersT]" displayFolder="" count="0" memberValueDatatype="20" unbalanced="0"/>
    <cacheHierarchy uniqueName="[OrdersT].[OrderDate]" caption="OrderDate" attribute="1" time="1" defaultMemberUniqueName="[OrdersT].[OrderDate].[All]" allUniqueName="[OrdersT].[OrderDate].[All]" dimensionUniqueName="[OrdersT]" displayFolder="" count="2" memberValueDatatype="7" unbalanced="0"/>
    <cacheHierarchy uniqueName="[OrdersT].[Month]" caption="Month" attribute="1" defaultMemberUniqueName="[OrdersT].[Month].[All]" allUniqueName="[OrdersT].[Month].[All]" dimensionUniqueName="[OrdersT]" displayFolder="" count="0" memberValueDatatype="130" unbalanced="0"/>
    <cacheHierarchy uniqueName="[OrdersT].[year]" caption="year" attribute="1" defaultMemberUniqueName="[OrdersT].[year].[All]" allUniqueName="[OrdersT].[year].[All]" dimensionUniqueName="[OrdersT]" displayFolder="" count="0" memberValueDatatype="20" unbalanced="0"/>
    <cacheHierarchy uniqueName="[OrdersT].[CustomerID]" caption="CustomerID" attribute="1" defaultMemberUniqueName="[OrdersT].[CustomerID].[All]" allUniqueName="[OrdersT].[CustomerID].[All]" dimensionUniqueName="[OrdersT]" displayFolder="" count="0" memberValueDatatype="20" unbalanced="0"/>
    <cacheHierarchy uniqueName="[OrdersT].[FullName]" caption="FullName" attribute="1" defaultMemberUniqueName="[OrdersT].[FullName].[All]" allUniqueName="[OrdersT].[FullName].[All]" dimensionUniqueName="[OrdersT]" displayFolder="" count="0" memberValueDatatype="130" unbalanced="0"/>
    <cacheHierarchy uniqueName="[OrdersT].[Age]" caption="Age" attribute="1" defaultMemberUniqueName="[OrdersT].[Age].[All]" allUniqueName="[OrdersT].[Age].[All]" dimensionUniqueName="[OrdersT]" displayFolder="" count="0" memberValueDatatype="20" unbalanced="0"/>
    <cacheHierarchy uniqueName="[OrdersT].[City]" caption="City" attribute="1" defaultMemberUniqueName="[OrdersT].[City].[All]" allUniqueName="[OrdersT].[City].[All]" dimensionUniqueName="[OrdersT]" displayFolder="" count="0" memberValueDatatype="130" unbalanced="0"/>
    <cacheHierarchy uniqueName="[OrdersT].[Region]" caption="Region" attribute="1" defaultMemberUniqueName="[OrdersT].[Region].[All]" allUniqueName="[OrdersT].[Region].[All]" dimensionUniqueName="[OrdersT]" displayFolder="" count="2" memberValueDatatype="130" unbalanced="0"/>
    <cacheHierarchy uniqueName="[OrdersT].[ProductID]" caption="ProductID" attribute="1" defaultMemberUniqueName="[OrdersT].[ProductID].[All]" allUniqueName="[OrdersT].[ProductID].[All]" dimensionUniqueName="[OrdersT]" displayFolder="" count="0" memberValueDatatype="20" unbalanced="0"/>
    <cacheHierarchy uniqueName="[OrdersT].[ProductName]" caption="ProductName" attribute="1" defaultMemberUniqueName="[OrdersT].[ProductName].[All]" allUniqueName="[OrdersT].[ProductName].[All]" dimensionUniqueName="[OrdersT]" displayFolder="" count="0" memberValueDatatype="130" unbalanced="0"/>
    <cacheHierarchy uniqueName="[OrdersT].[Category]" caption="Category" attribute="1" defaultMemberUniqueName="[OrdersT].[Category].[All]" allUniqueName="[OrdersT].[Category].[All]" dimensionUniqueName="[OrdersT]" displayFolder="" count="2" memberValueDatatype="130" unbalanced="0">
      <fieldsUsage count="2">
        <fieldUsage x="-1"/>
        <fieldUsage x="1"/>
      </fieldsUsage>
    </cacheHierarchy>
    <cacheHierarchy uniqueName="[OrdersT].[Price]" caption="Price" attribute="1" defaultMemberUniqueName="[OrdersT].[Price].[All]" allUniqueName="[OrdersT].[Price].[All]" dimensionUniqueName="[OrdersT]" displayFolder="" count="0" memberValueDatatype="5" unbalanced="0"/>
    <cacheHierarchy uniqueName="[OrdersT].[Quantity]" caption="Quantity" attribute="1" defaultMemberUniqueName="[OrdersT].[Quantity].[All]" allUniqueName="[OrdersT].[Quantity].[All]" dimensionUniqueName="[OrdersT]" displayFolder="" count="0" memberValueDatatype="20" unbalanced="0"/>
    <cacheHierarchy uniqueName="[OrdersT].[Revenue]" caption="Revenue" attribute="1" defaultMemberUniqueName="[OrdersT].[Revenue].[All]" allUniqueName="[OrdersT].[Revenue].[All]" dimensionUniqueName="[OrdersT]" displayFolder="" count="0" memberValueDatatype="5" unbalanced="0"/>
    <cacheHierarchy uniqueName="[OrdersT].[Sales Channel]" caption="Sales Channel" attribute="1" defaultMemberUniqueName="[OrdersT].[Sales Channel].[All]" allUniqueName="[OrdersT].[Sales Channel].[All]" dimensionUniqueName="[OrdersT]" displayFolder="" count="2" memberValueDatatype="130" unbalanced="0"/>
    <cacheHierarchy uniqueName="[OrdersT].[OrderDate (Year)]" caption="OrderDate (Year)" attribute="1" defaultMemberUniqueName="[OrdersT].[OrderDate (Year)].[All]" allUniqueName="[OrdersT].[OrderDate (Year)].[All]" dimensionUniqueName="[OrdersT]" displayFolder="" count="0" memberValueDatatype="130" unbalanced="0"/>
    <cacheHierarchy uniqueName="[OrdersT].[OrderDate (Quarter)]" caption="OrderDate (Quarter)" attribute="1" defaultMemberUniqueName="[OrdersT].[OrderDate (Quarter)].[All]" allUniqueName="[OrdersT].[OrderDate (Quarter)].[All]" dimensionUniqueName="[OrdersT]" displayFolder="" count="0" memberValueDatatype="130" unbalanced="0"/>
    <cacheHierarchy uniqueName="[OrdersT].[OrderDate (Month)]" caption="OrderDate (Month)" attribute="1" defaultMemberUniqueName="[OrdersT].[OrderDate (Month)].[All]" allUniqueName="[OrdersT].[OrderDate (Month)].[All]" dimensionUniqueName="[OrdersT]" displayFolder="" count="0" memberValueDatatype="130" unbalanced="0"/>
    <cacheHierarchy uniqueName="[OrdersT].[OrderDate (Month Index)]" caption="OrderDate (Month Index)" attribute="1" defaultMemberUniqueName="[OrdersT].[OrderDate (Month Index)].[All]" allUniqueName="[OrdersT].[OrderDate (Month Index)].[All]" dimensionUniqueName="[OrdersT]" displayFolder="" count="0" memberValueDatatype="20" unbalanced="0" hidden="1"/>
    <cacheHierarchy uniqueName="[Measures].[__XL_Count OrdersT]" caption="__XL_Count OrdersT" measure="1" displayFolder="" measureGroup="OrdersT" count="0" hidden="1"/>
    <cacheHierarchy uniqueName="[Measures].[__No measures defined]" caption="__No measures defined" measure="1" displayFolder="" count="0" hidden="1"/>
    <cacheHierarchy uniqueName="[Measures].[Sum of CustomerID]" caption="Sum of CustomerID" measure="1" displayFolder="" measureGroup="OrdersT" count="0" hidden="1">
      <extLst>
        <ext xmlns:x15="http://schemas.microsoft.com/office/spreadsheetml/2010/11/main" uri="{B97F6D7D-B522-45F9-BDA1-12C45D357490}">
          <x15:cacheHierarchy aggregatedColumn="4"/>
        </ext>
      </extLst>
    </cacheHierarchy>
    <cacheHierarchy uniqueName="[Measures].[Distinct Count of CustomerID]" caption="Distinct Count of CustomerID" measure="1" displayFolder="" measureGroup="OrdersT"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OrdersT"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T" count="0" hidden="1">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OrdersT" count="0" hidden="1">
      <extLst>
        <ext xmlns:x15="http://schemas.microsoft.com/office/spreadsheetml/2010/11/main" uri="{B97F6D7D-B522-45F9-BDA1-12C45D357490}">
          <x15:cacheHierarchy aggregatedColumn="14"/>
        </ext>
      </extLst>
    </cacheHierarchy>
    <cacheHierarchy uniqueName="[Measures].[Sum of OrderID]" caption="Sum of OrderID" measure="1" displayFolder="" measureGroup="OrdersT"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OrdersT"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OrdersT" uniqueName="[OrdersT]" caption="OrdersT"/>
  </dimensions>
  <measureGroups count="1">
    <measureGroup name="OrdersT" caption="Orders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5.014527083331" backgroundQuery="1" createdVersion="7" refreshedVersion="7" minRefreshableVersion="3" recordCount="0" supportSubquery="1" supportAdvancedDrill="1" xr:uid="{59977BDD-E9AE-45DC-9E47-9B78A9376EB7}">
  <cacheSource type="external" connectionId="1"/>
  <cacheFields count="2">
    <cacheField name="[Measures].[Sum of Revenue]" caption="Sum of Revenue" numFmtId="0" hierarchy="24" level="32767"/>
    <cacheField name="[OrdersT].[ProductName].[ProductName]" caption="ProductName" numFmtId="0" hierarchy="10" level="1">
      <sharedItems count="5">
        <s v="Electric Kettle"/>
        <s v="Gaming Headset"/>
        <s v="Printer"/>
        <s v="Smartphone"/>
        <s v="Webcam"/>
      </sharedItems>
    </cacheField>
  </cacheFields>
  <cacheHierarchies count="29">
    <cacheHierarchy uniqueName="[OrdersT].[OrderID]" caption="OrderID" attribute="1" defaultMemberUniqueName="[OrdersT].[OrderID].[All]" allUniqueName="[OrdersT].[OrderID].[All]" dimensionUniqueName="[OrdersT]" displayFolder="" count="0" memberValueDatatype="20" unbalanced="0"/>
    <cacheHierarchy uniqueName="[OrdersT].[OrderDate]" caption="OrderDate" attribute="1" time="1" defaultMemberUniqueName="[OrdersT].[OrderDate].[All]" allUniqueName="[OrdersT].[OrderDate].[All]" dimensionUniqueName="[OrdersT]" displayFolder="" count="2" memberValueDatatype="7" unbalanced="0"/>
    <cacheHierarchy uniqueName="[OrdersT].[Month]" caption="Month" attribute="1" defaultMemberUniqueName="[OrdersT].[Month].[All]" allUniqueName="[OrdersT].[Month].[All]" dimensionUniqueName="[OrdersT]" displayFolder="" count="0" memberValueDatatype="130" unbalanced="0"/>
    <cacheHierarchy uniqueName="[OrdersT].[year]" caption="year" attribute="1" defaultMemberUniqueName="[OrdersT].[year].[All]" allUniqueName="[OrdersT].[year].[All]" dimensionUniqueName="[OrdersT]" displayFolder="" count="0" memberValueDatatype="20" unbalanced="0"/>
    <cacheHierarchy uniqueName="[OrdersT].[CustomerID]" caption="CustomerID" attribute="1" defaultMemberUniqueName="[OrdersT].[CustomerID].[All]" allUniqueName="[OrdersT].[CustomerID].[All]" dimensionUniqueName="[OrdersT]" displayFolder="" count="0" memberValueDatatype="20" unbalanced="0"/>
    <cacheHierarchy uniqueName="[OrdersT].[FullName]" caption="FullName" attribute="1" defaultMemberUniqueName="[OrdersT].[FullName].[All]" allUniqueName="[OrdersT].[FullName].[All]" dimensionUniqueName="[OrdersT]" displayFolder="" count="0" memberValueDatatype="130" unbalanced="0"/>
    <cacheHierarchy uniqueName="[OrdersT].[Age]" caption="Age" attribute="1" defaultMemberUniqueName="[OrdersT].[Age].[All]" allUniqueName="[OrdersT].[Age].[All]" dimensionUniqueName="[OrdersT]" displayFolder="" count="0" memberValueDatatype="20" unbalanced="0"/>
    <cacheHierarchy uniqueName="[OrdersT].[City]" caption="City" attribute="1" defaultMemberUniqueName="[OrdersT].[City].[All]" allUniqueName="[OrdersT].[City].[All]" dimensionUniqueName="[OrdersT]" displayFolder="" count="0" memberValueDatatype="130" unbalanced="0"/>
    <cacheHierarchy uniqueName="[OrdersT].[Region]" caption="Region" attribute="1" defaultMemberUniqueName="[OrdersT].[Region].[All]" allUniqueName="[OrdersT].[Region].[All]" dimensionUniqueName="[OrdersT]" displayFolder="" count="2" memberValueDatatype="130" unbalanced="0"/>
    <cacheHierarchy uniqueName="[OrdersT].[ProductID]" caption="ProductID" attribute="1" defaultMemberUniqueName="[OrdersT].[ProductID].[All]" allUniqueName="[OrdersT].[ProductID].[All]" dimensionUniqueName="[OrdersT]" displayFolder="" count="0" memberValueDatatype="20" unbalanced="0"/>
    <cacheHierarchy uniqueName="[OrdersT].[ProductName]" caption="ProductName" attribute="1" defaultMemberUniqueName="[OrdersT].[ProductName].[All]" allUniqueName="[OrdersT].[ProductName].[All]" dimensionUniqueName="[OrdersT]" displayFolder="" count="2" memberValueDatatype="130" unbalanced="0">
      <fieldsUsage count="2">
        <fieldUsage x="-1"/>
        <fieldUsage x="1"/>
      </fieldsUsage>
    </cacheHierarchy>
    <cacheHierarchy uniqueName="[OrdersT].[Category]" caption="Category" attribute="1" defaultMemberUniqueName="[OrdersT].[Category].[All]" allUniqueName="[OrdersT].[Category].[All]" dimensionUniqueName="[OrdersT]" displayFolder="" count="2" memberValueDatatype="130" unbalanced="0"/>
    <cacheHierarchy uniqueName="[OrdersT].[Price]" caption="Price" attribute="1" defaultMemberUniqueName="[OrdersT].[Price].[All]" allUniqueName="[OrdersT].[Price].[All]" dimensionUniqueName="[OrdersT]" displayFolder="" count="0" memberValueDatatype="5" unbalanced="0"/>
    <cacheHierarchy uniqueName="[OrdersT].[Quantity]" caption="Quantity" attribute="1" defaultMemberUniqueName="[OrdersT].[Quantity].[All]" allUniqueName="[OrdersT].[Quantity].[All]" dimensionUniqueName="[OrdersT]" displayFolder="" count="0" memberValueDatatype="20" unbalanced="0"/>
    <cacheHierarchy uniqueName="[OrdersT].[Revenue]" caption="Revenue" attribute="1" defaultMemberUniqueName="[OrdersT].[Revenue].[All]" allUniqueName="[OrdersT].[Revenue].[All]" dimensionUniqueName="[OrdersT]" displayFolder="" count="0" memberValueDatatype="5" unbalanced="0"/>
    <cacheHierarchy uniqueName="[OrdersT].[Sales Channel]" caption="Sales Channel" attribute="1" defaultMemberUniqueName="[OrdersT].[Sales Channel].[All]" allUniqueName="[OrdersT].[Sales Channel].[All]" dimensionUniqueName="[OrdersT]" displayFolder="" count="2" memberValueDatatype="130" unbalanced="0"/>
    <cacheHierarchy uniqueName="[OrdersT].[OrderDate (Year)]" caption="OrderDate (Year)" attribute="1" defaultMemberUniqueName="[OrdersT].[OrderDate (Year)].[All]" allUniqueName="[OrdersT].[OrderDate (Year)].[All]" dimensionUniqueName="[OrdersT]" displayFolder="" count="0" memberValueDatatype="130" unbalanced="0"/>
    <cacheHierarchy uniqueName="[OrdersT].[OrderDate (Quarter)]" caption="OrderDate (Quarter)" attribute="1" defaultMemberUniqueName="[OrdersT].[OrderDate (Quarter)].[All]" allUniqueName="[OrdersT].[OrderDate (Quarter)].[All]" dimensionUniqueName="[OrdersT]" displayFolder="" count="0" memberValueDatatype="130" unbalanced="0"/>
    <cacheHierarchy uniqueName="[OrdersT].[OrderDate (Month)]" caption="OrderDate (Month)" attribute="1" defaultMemberUniqueName="[OrdersT].[OrderDate (Month)].[All]" allUniqueName="[OrdersT].[OrderDate (Month)].[All]" dimensionUniqueName="[OrdersT]" displayFolder="" count="0" memberValueDatatype="130" unbalanced="0"/>
    <cacheHierarchy uniqueName="[OrdersT].[OrderDate (Month Index)]" caption="OrderDate (Month Index)" attribute="1" defaultMemberUniqueName="[OrdersT].[OrderDate (Month Index)].[All]" allUniqueName="[OrdersT].[OrderDate (Month Index)].[All]" dimensionUniqueName="[OrdersT]" displayFolder="" count="0" memberValueDatatype="20" unbalanced="0" hidden="1"/>
    <cacheHierarchy uniqueName="[Measures].[__XL_Count OrdersT]" caption="__XL_Count OrdersT" measure="1" displayFolder="" measureGroup="OrdersT" count="0" hidden="1"/>
    <cacheHierarchy uniqueName="[Measures].[__No measures defined]" caption="__No measures defined" measure="1" displayFolder="" count="0" hidden="1"/>
    <cacheHierarchy uniqueName="[Measures].[Sum of CustomerID]" caption="Sum of CustomerID" measure="1" displayFolder="" measureGroup="OrdersT" count="0" hidden="1">
      <extLst>
        <ext xmlns:x15="http://schemas.microsoft.com/office/spreadsheetml/2010/11/main" uri="{B97F6D7D-B522-45F9-BDA1-12C45D357490}">
          <x15:cacheHierarchy aggregatedColumn="4"/>
        </ext>
      </extLst>
    </cacheHierarchy>
    <cacheHierarchy uniqueName="[Measures].[Distinct Count of CustomerID]" caption="Distinct Count of CustomerID" measure="1" displayFolder="" measureGroup="OrdersT"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OrdersT"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T" count="0" hidden="1">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OrdersT" count="0" hidden="1">
      <extLst>
        <ext xmlns:x15="http://schemas.microsoft.com/office/spreadsheetml/2010/11/main" uri="{B97F6D7D-B522-45F9-BDA1-12C45D357490}">
          <x15:cacheHierarchy aggregatedColumn="14"/>
        </ext>
      </extLst>
    </cacheHierarchy>
    <cacheHierarchy uniqueName="[Measures].[Sum of OrderID]" caption="Sum of OrderID" measure="1" displayFolder="" measureGroup="OrdersT"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OrdersT"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OrdersT" uniqueName="[OrdersT]" caption="OrdersT"/>
  </dimensions>
  <measureGroups count="1">
    <measureGroup name="OrdersT" caption="Orders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5.014527662039" backgroundQuery="1" createdVersion="7" refreshedVersion="7" minRefreshableVersion="3" recordCount="0" supportSubquery="1" supportAdvancedDrill="1" xr:uid="{440800DD-95BF-45EE-B46F-9701C90FBE07}">
  <cacheSource type="external" connectionId="1"/>
  <cacheFields count="7">
    <cacheField name="[Measures].[Sum of Revenue]" caption="Sum of Revenue" numFmtId="0" hierarchy="24" level="32767"/>
    <cacheField name="[OrdersT].[ProductName].[ProductName]" caption="ProductName" numFmtId="0" hierarchy="10" level="1">
      <sharedItems count="5">
        <s v="Electric Kettle"/>
        <s v="Gaming Headset"/>
        <s v="Printer"/>
        <s v="Smartphone"/>
        <s v="Webcam"/>
      </sharedItems>
    </cacheField>
    <cacheField name="[OrdersT].[Sales Channel].[Sales Channel]" caption="Sales Channel" numFmtId="0" hierarchy="15" level="1">
      <sharedItems count="2">
        <s v="Mid Tier"/>
        <s v="Top Tier"/>
      </sharedItems>
    </cacheField>
    <cacheField name="[Measures].[Sum of Quantity]" caption="Sum of Quantity" numFmtId="0" hierarchy="25" level="32767"/>
    <cacheField name="[Measures].[Average of Revenue]" caption="Average of Revenue" numFmtId="0" hierarchy="26" level="32767"/>
    <cacheField name="[Measures].[Count of OrderID]" caption="Count of OrderID" numFmtId="0" hierarchy="28" level="32767"/>
    <cacheField name="[Measures].[Distinct Count of CustomerID]" caption="Distinct Count of CustomerID" numFmtId="0" hierarchy="23" level="32767"/>
  </cacheFields>
  <cacheHierarchies count="29">
    <cacheHierarchy uniqueName="[OrdersT].[OrderID]" caption="OrderID" attribute="1" defaultMemberUniqueName="[OrdersT].[OrderID].[All]" allUniqueName="[OrdersT].[OrderID].[All]" dimensionUniqueName="[OrdersT]" displayFolder="" count="0" memberValueDatatype="20" unbalanced="0"/>
    <cacheHierarchy uniqueName="[OrdersT].[OrderDate]" caption="OrderDate" attribute="1" time="1" defaultMemberUniqueName="[OrdersT].[OrderDate].[All]" allUniqueName="[OrdersT].[OrderDate].[All]" dimensionUniqueName="[OrdersT]" displayFolder="" count="2" memberValueDatatype="7" unbalanced="0"/>
    <cacheHierarchy uniqueName="[OrdersT].[Month]" caption="Month" attribute="1" defaultMemberUniqueName="[OrdersT].[Month].[All]" allUniqueName="[OrdersT].[Month].[All]" dimensionUniqueName="[OrdersT]" displayFolder="" count="0" memberValueDatatype="130" unbalanced="0"/>
    <cacheHierarchy uniqueName="[OrdersT].[year]" caption="year" attribute="1" defaultMemberUniqueName="[OrdersT].[year].[All]" allUniqueName="[OrdersT].[year].[All]" dimensionUniqueName="[OrdersT]" displayFolder="" count="0" memberValueDatatype="20" unbalanced="0"/>
    <cacheHierarchy uniqueName="[OrdersT].[CustomerID]" caption="CustomerID" attribute="1" defaultMemberUniqueName="[OrdersT].[CustomerID].[All]" allUniqueName="[OrdersT].[CustomerID].[All]" dimensionUniqueName="[OrdersT]" displayFolder="" count="0" memberValueDatatype="20" unbalanced="0"/>
    <cacheHierarchy uniqueName="[OrdersT].[FullName]" caption="FullName" attribute="1" defaultMemberUniqueName="[OrdersT].[FullName].[All]" allUniqueName="[OrdersT].[FullName].[All]" dimensionUniqueName="[OrdersT]" displayFolder="" count="0" memberValueDatatype="130" unbalanced="0"/>
    <cacheHierarchy uniqueName="[OrdersT].[Age]" caption="Age" attribute="1" defaultMemberUniqueName="[OrdersT].[Age].[All]" allUniqueName="[OrdersT].[Age].[All]" dimensionUniqueName="[OrdersT]" displayFolder="" count="0" memberValueDatatype="20" unbalanced="0"/>
    <cacheHierarchy uniqueName="[OrdersT].[City]" caption="City" attribute="1" defaultMemberUniqueName="[OrdersT].[City].[All]" allUniqueName="[OrdersT].[City].[All]" dimensionUniqueName="[OrdersT]" displayFolder="" count="0" memberValueDatatype="130" unbalanced="0"/>
    <cacheHierarchy uniqueName="[OrdersT].[Region]" caption="Region" attribute="1" defaultMemberUniqueName="[OrdersT].[Region].[All]" allUniqueName="[OrdersT].[Region].[All]" dimensionUniqueName="[OrdersT]" displayFolder="" count="2" memberValueDatatype="130" unbalanced="0"/>
    <cacheHierarchy uniqueName="[OrdersT].[ProductID]" caption="ProductID" attribute="1" defaultMemberUniqueName="[OrdersT].[ProductID].[All]" allUniqueName="[OrdersT].[ProductID].[All]" dimensionUniqueName="[OrdersT]" displayFolder="" count="0" memberValueDatatype="20" unbalanced="0"/>
    <cacheHierarchy uniqueName="[OrdersT].[ProductName]" caption="ProductName" attribute="1" defaultMemberUniqueName="[OrdersT].[ProductName].[All]" allUniqueName="[OrdersT].[ProductName].[All]" dimensionUniqueName="[OrdersT]" displayFolder="" count="2" memberValueDatatype="130" unbalanced="0">
      <fieldsUsage count="2">
        <fieldUsage x="-1"/>
        <fieldUsage x="1"/>
      </fieldsUsage>
    </cacheHierarchy>
    <cacheHierarchy uniqueName="[OrdersT].[Category]" caption="Category" attribute="1" defaultMemberUniqueName="[OrdersT].[Category].[All]" allUniqueName="[OrdersT].[Category].[All]" dimensionUniqueName="[OrdersT]" displayFolder="" count="2" memberValueDatatype="130" unbalanced="0"/>
    <cacheHierarchy uniqueName="[OrdersT].[Price]" caption="Price" attribute="1" defaultMemberUniqueName="[OrdersT].[Price].[All]" allUniqueName="[OrdersT].[Price].[All]" dimensionUniqueName="[OrdersT]" displayFolder="" count="0" memberValueDatatype="5" unbalanced="0"/>
    <cacheHierarchy uniqueName="[OrdersT].[Quantity]" caption="Quantity" attribute="1" defaultMemberUniqueName="[OrdersT].[Quantity].[All]" allUniqueName="[OrdersT].[Quantity].[All]" dimensionUniqueName="[OrdersT]" displayFolder="" count="0" memberValueDatatype="20" unbalanced="0"/>
    <cacheHierarchy uniqueName="[OrdersT].[Revenue]" caption="Revenue" attribute="1" defaultMemberUniqueName="[OrdersT].[Revenue].[All]" allUniqueName="[OrdersT].[Revenue].[All]" dimensionUniqueName="[OrdersT]" displayFolder="" count="0" memberValueDatatype="5" unbalanced="0"/>
    <cacheHierarchy uniqueName="[OrdersT].[Sales Channel]" caption="Sales Channel" attribute="1" defaultMemberUniqueName="[OrdersT].[Sales Channel].[All]" allUniqueName="[OrdersT].[Sales Channel].[All]" dimensionUniqueName="[OrdersT]" displayFolder="" count="2" memberValueDatatype="130" unbalanced="0">
      <fieldsUsage count="2">
        <fieldUsage x="-1"/>
        <fieldUsage x="2"/>
      </fieldsUsage>
    </cacheHierarchy>
    <cacheHierarchy uniqueName="[OrdersT].[OrderDate (Year)]" caption="OrderDate (Year)" attribute="1" defaultMemberUniqueName="[OrdersT].[OrderDate (Year)].[All]" allUniqueName="[OrdersT].[OrderDate (Year)].[All]" dimensionUniqueName="[OrdersT]" displayFolder="" count="0" memberValueDatatype="130" unbalanced="0"/>
    <cacheHierarchy uniqueName="[OrdersT].[OrderDate (Quarter)]" caption="OrderDate (Quarter)" attribute="1" defaultMemberUniqueName="[OrdersT].[OrderDate (Quarter)].[All]" allUniqueName="[OrdersT].[OrderDate (Quarter)].[All]" dimensionUniqueName="[OrdersT]" displayFolder="" count="0" memberValueDatatype="130" unbalanced="0"/>
    <cacheHierarchy uniqueName="[OrdersT].[OrderDate (Month)]" caption="OrderDate (Month)" attribute="1" defaultMemberUniqueName="[OrdersT].[OrderDate (Month)].[All]" allUniqueName="[OrdersT].[OrderDate (Month)].[All]" dimensionUniqueName="[OrdersT]" displayFolder="" count="0" memberValueDatatype="130" unbalanced="0"/>
    <cacheHierarchy uniqueName="[OrdersT].[OrderDate (Month Index)]" caption="OrderDate (Month Index)" attribute="1" defaultMemberUniqueName="[OrdersT].[OrderDate (Month Index)].[All]" allUniqueName="[OrdersT].[OrderDate (Month Index)].[All]" dimensionUniqueName="[OrdersT]" displayFolder="" count="0" memberValueDatatype="20" unbalanced="0" hidden="1"/>
    <cacheHierarchy uniqueName="[Measures].[__XL_Count OrdersT]" caption="__XL_Count OrdersT" measure="1" displayFolder="" measureGroup="OrdersT" count="0" hidden="1"/>
    <cacheHierarchy uniqueName="[Measures].[__No measures defined]" caption="__No measures defined" measure="1" displayFolder="" count="0" hidden="1"/>
    <cacheHierarchy uniqueName="[Measures].[Sum of CustomerID]" caption="Sum of CustomerID" measure="1" displayFolder="" measureGroup="OrdersT" count="0" hidden="1">
      <extLst>
        <ext xmlns:x15="http://schemas.microsoft.com/office/spreadsheetml/2010/11/main" uri="{B97F6D7D-B522-45F9-BDA1-12C45D357490}">
          <x15:cacheHierarchy aggregatedColumn="4"/>
        </ext>
      </extLst>
    </cacheHierarchy>
    <cacheHierarchy uniqueName="[Measures].[Distinct Count of CustomerID]" caption="Distinct Count of CustomerID" measure="1" displayFolder="" measureGroup="OrdersT" count="0" oneField="1" hidden="1">
      <fieldsUsage count="1">
        <fieldUsage x="6"/>
      </fieldsUsage>
      <extLst>
        <ext xmlns:x15="http://schemas.microsoft.com/office/spreadsheetml/2010/11/main" uri="{B97F6D7D-B522-45F9-BDA1-12C45D357490}">
          <x15:cacheHierarchy aggregatedColumn="4"/>
        </ext>
      </extLst>
    </cacheHierarchy>
    <cacheHierarchy uniqueName="[Measures].[Sum of Revenue]" caption="Sum of Revenue" measure="1" displayFolder="" measureGroup="OrdersT"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T" count="0" oneField="1" hidden="1">
      <fieldsUsage count="1">
        <fieldUsage x="3"/>
      </fieldsUsage>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OrdersT" count="0" oneField="1" hidden="1">
      <fieldsUsage count="1">
        <fieldUsage x="4"/>
      </fieldsUsage>
      <extLst>
        <ext xmlns:x15="http://schemas.microsoft.com/office/spreadsheetml/2010/11/main" uri="{B97F6D7D-B522-45F9-BDA1-12C45D357490}">
          <x15:cacheHierarchy aggregatedColumn="14"/>
        </ext>
      </extLst>
    </cacheHierarchy>
    <cacheHierarchy uniqueName="[Measures].[Sum of OrderID]" caption="Sum of OrderID" measure="1" displayFolder="" measureGroup="OrdersT"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OrdersT" count="0" oneField="1" hidden="1">
      <fieldsUsage count="1">
        <fieldUsage x="5"/>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OrdersT" uniqueName="[OrdersT]" caption="OrdersT"/>
  </dimensions>
  <measureGroups count="1">
    <measureGroup name="OrdersT" caption="Orders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5.014528356478" backgroundQuery="1" createdVersion="7" refreshedVersion="7" minRefreshableVersion="3" recordCount="0" supportSubquery="1" supportAdvancedDrill="1" xr:uid="{F36F6653-DA84-410B-AF3B-F18CF83A6B52}">
  <cacheSource type="external" connectionId="1"/>
  <cacheFields count="5">
    <cacheField name="[Measures].[Sum of Revenue]" caption="Sum of Revenue" numFmtId="0" hierarchy="24" level="32767"/>
    <cacheField name="[OrdersT].[ProductName].[ProductName]" caption="ProductName" numFmtId="0" hierarchy="10" level="1">
      <sharedItems count="5">
        <s v="Electric Kettle"/>
        <s v="Gaming Headset"/>
        <s v="Printer"/>
        <s v="Smartphone"/>
        <s v="Webcam"/>
      </sharedItems>
    </cacheField>
    <cacheField name="[OrdersT].[Sales Channel].[Sales Channel]" caption="Sales Channel" numFmtId="0" hierarchy="15" level="1">
      <sharedItems count="2">
        <s v="Mid Tier"/>
        <s v="Top Tier"/>
      </sharedItems>
    </cacheField>
    <cacheField name="[OrdersT].[Month].[Month]" caption="Month" numFmtId="0" hierarchy="2" level="1">
      <sharedItems count="12">
        <s v="Apr"/>
        <s v="Aug"/>
        <s v="Dec"/>
        <s v="Feb"/>
        <s v="Jan"/>
        <s v="Jul"/>
        <s v="Jun"/>
        <s v="Mar"/>
        <s v="May"/>
        <s v="Nov"/>
        <s v="Oct"/>
        <s v="Sept"/>
      </sharedItems>
    </cacheField>
    <cacheField name="[OrdersT].[year].[year]" caption="year" numFmtId="0" hierarchy="3" level="1">
      <sharedItems containsMixedTypes="1" containsNumber="1" containsInteger="1" minValue="2024" maxValue="2025" count="4">
        <n v="2024"/>
        <n v="2025"/>
        <s v="2024" u="1"/>
        <s v="2025" u="1"/>
      </sharedItems>
      <extLst>
        <ext xmlns:x15="http://schemas.microsoft.com/office/spreadsheetml/2010/11/main" uri="{4F2E5C28-24EA-4eb8-9CBF-B6C8F9C3D259}">
          <x15:cachedUniqueNames>
            <x15:cachedUniqueName index="0" name="[OrdersT].[year].&amp;[2024]"/>
            <x15:cachedUniqueName index="1" name="[OrdersT].[year].&amp;[2025]"/>
          </x15:cachedUniqueNames>
        </ext>
      </extLst>
    </cacheField>
  </cacheFields>
  <cacheHierarchies count="29">
    <cacheHierarchy uniqueName="[OrdersT].[OrderID]" caption="OrderID" attribute="1" defaultMemberUniqueName="[OrdersT].[OrderID].[All]" allUniqueName="[OrdersT].[OrderID].[All]" dimensionUniqueName="[OrdersT]" displayFolder="" count="0" memberValueDatatype="20" unbalanced="0"/>
    <cacheHierarchy uniqueName="[OrdersT].[OrderDate]" caption="OrderDate" attribute="1" time="1" defaultMemberUniqueName="[OrdersT].[OrderDate].[All]" allUniqueName="[OrdersT].[OrderDate].[All]" dimensionUniqueName="[OrdersT]" displayFolder="" count="2" memberValueDatatype="7" unbalanced="0"/>
    <cacheHierarchy uniqueName="[OrdersT].[Month]" caption="Month" attribute="1" defaultMemberUniqueName="[OrdersT].[Month].[All]" allUniqueName="[OrdersT].[Month].[All]" dimensionUniqueName="[OrdersT]" displayFolder="" count="2" memberValueDatatype="130" unbalanced="0">
      <fieldsUsage count="2">
        <fieldUsage x="-1"/>
        <fieldUsage x="3"/>
      </fieldsUsage>
    </cacheHierarchy>
    <cacheHierarchy uniqueName="[OrdersT].[year]" caption="year" attribute="1" defaultMemberUniqueName="[OrdersT].[year].[All]" allUniqueName="[OrdersT].[year].[All]" dimensionUniqueName="[OrdersT]" displayFolder="" count="2" memberValueDatatype="20" unbalanced="0">
      <fieldsUsage count="2">
        <fieldUsage x="-1"/>
        <fieldUsage x="4"/>
      </fieldsUsage>
    </cacheHierarchy>
    <cacheHierarchy uniqueName="[OrdersT].[CustomerID]" caption="CustomerID" attribute="1" defaultMemberUniqueName="[OrdersT].[CustomerID].[All]" allUniqueName="[OrdersT].[CustomerID].[All]" dimensionUniqueName="[OrdersT]" displayFolder="" count="0" memberValueDatatype="20" unbalanced="0"/>
    <cacheHierarchy uniqueName="[OrdersT].[FullName]" caption="FullName" attribute="1" defaultMemberUniqueName="[OrdersT].[FullName].[All]" allUniqueName="[OrdersT].[FullName].[All]" dimensionUniqueName="[OrdersT]" displayFolder="" count="0" memberValueDatatype="130" unbalanced="0"/>
    <cacheHierarchy uniqueName="[OrdersT].[Age]" caption="Age" attribute="1" defaultMemberUniqueName="[OrdersT].[Age].[All]" allUniqueName="[OrdersT].[Age].[All]" dimensionUniqueName="[OrdersT]" displayFolder="" count="0" memberValueDatatype="20" unbalanced="0"/>
    <cacheHierarchy uniqueName="[OrdersT].[City]" caption="City" attribute="1" defaultMemberUniqueName="[OrdersT].[City].[All]" allUniqueName="[OrdersT].[City].[All]" dimensionUniqueName="[OrdersT]" displayFolder="" count="0" memberValueDatatype="130" unbalanced="0"/>
    <cacheHierarchy uniqueName="[OrdersT].[Region]" caption="Region" attribute="1" defaultMemberUniqueName="[OrdersT].[Region].[All]" allUniqueName="[OrdersT].[Region].[All]" dimensionUniqueName="[OrdersT]" displayFolder="" count="2" memberValueDatatype="130" unbalanced="0"/>
    <cacheHierarchy uniqueName="[OrdersT].[ProductID]" caption="ProductID" attribute="1" defaultMemberUniqueName="[OrdersT].[ProductID].[All]" allUniqueName="[OrdersT].[ProductID].[All]" dimensionUniqueName="[OrdersT]" displayFolder="" count="0" memberValueDatatype="20" unbalanced="0"/>
    <cacheHierarchy uniqueName="[OrdersT].[ProductName]" caption="ProductName" attribute="1" defaultMemberUniqueName="[OrdersT].[ProductName].[All]" allUniqueName="[OrdersT].[ProductName].[All]" dimensionUniqueName="[OrdersT]" displayFolder="" count="2" memberValueDatatype="130" unbalanced="0">
      <fieldsUsage count="2">
        <fieldUsage x="-1"/>
        <fieldUsage x="1"/>
      </fieldsUsage>
    </cacheHierarchy>
    <cacheHierarchy uniqueName="[OrdersT].[Category]" caption="Category" attribute="1" defaultMemberUniqueName="[OrdersT].[Category].[All]" allUniqueName="[OrdersT].[Category].[All]" dimensionUniqueName="[OrdersT]" displayFolder="" count="2" memberValueDatatype="130" unbalanced="0"/>
    <cacheHierarchy uniqueName="[OrdersT].[Price]" caption="Price" attribute="1" defaultMemberUniqueName="[OrdersT].[Price].[All]" allUniqueName="[OrdersT].[Price].[All]" dimensionUniqueName="[OrdersT]" displayFolder="" count="0" memberValueDatatype="5" unbalanced="0"/>
    <cacheHierarchy uniqueName="[OrdersT].[Quantity]" caption="Quantity" attribute="1" defaultMemberUniqueName="[OrdersT].[Quantity].[All]" allUniqueName="[OrdersT].[Quantity].[All]" dimensionUniqueName="[OrdersT]" displayFolder="" count="0" memberValueDatatype="20" unbalanced="0"/>
    <cacheHierarchy uniqueName="[OrdersT].[Revenue]" caption="Revenue" attribute="1" defaultMemberUniqueName="[OrdersT].[Revenue].[All]" allUniqueName="[OrdersT].[Revenue].[All]" dimensionUniqueName="[OrdersT]" displayFolder="" count="0" memberValueDatatype="5" unbalanced="0"/>
    <cacheHierarchy uniqueName="[OrdersT].[Sales Channel]" caption="Sales Channel" attribute="1" defaultMemberUniqueName="[OrdersT].[Sales Channel].[All]" allUniqueName="[OrdersT].[Sales Channel].[All]" dimensionUniqueName="[OrdersT]" displayFolder="" count="2" memberValueDatatype="130" unbalanced="0">
      <fieldsUsage count="2">
        <fieldUsage x="-1"/>
        <fieldUsage x="2"/>
      </fieldsUsage>
    </cacheHierarchy>
    <cacheHierarchy uniqueName="[OrdersT].[OrderDate (Year)]" caption="OrderDate (Year)" attribute="1" defaultMemberUniqueName="[OrdersT].[OrderDate (Year)].[All]" allUniqueName="[OrdersT].[OrderDate (Year)].[All]" dimensionUniqueName="[OrdersT]" displayFolder="" count="0" memberValueDatatype="130" unbalanced="0"/>
    <cacheHierarchy uniqueName="[OrdersT].[OrderDate (Quarter)]" caption="OrderDate (Quarter)" attribute="1" defaultMemberUniqueName="[OrdersT].[OrderDate (Quarter)].[All]" allUniqueName="[OrdersT].[OrderDate (Quarter)].[All]" dimensionUniqueName="[OrdersT]" displayFolder="" count="0" memberValueDatatype="130" unbalanced="0"/>
    <cacheHierarchy uniqueName="[OrdersT].[OrderDate (Month)]" caption="OrderDate (Month)" attribute="1" defaultMemberUniqueName="[OrdersT].[OrderDate (Month)].[All]" allUniqueName="[OrdersT].[OrderDate (Month)].[All]" dimensionUniqueName="[OrdersT]" displayFolder="" count="0" memberValueDatatype="130" unbalanced="0"/>
    <cacheHierarchy uniqueName="[OrdersT].[OrderDate (Month Index)]" caption="OrderDate (Month Index)" attribute="1" defaultMemberUniqueName="[OrdersT].[OrderDate (Month Index)].[All]" allUniqueName="[OrdersT].[OrderDate (Month Index)].[All]" dimensionUniqueName="[OrdersT]" displayFolder="" count="0" memberValueDatatype="20" unbalanced="0" hidden="1"/>
    <cacheHierarchy uniqueName="[Measures].[__XL_Count OrdersT]" caption="__XL_Count OrdersT" measure="1" displayFolder="" measureGroup="OrdersT" count="0" hidden="1"/>
    <cacheHierarchy uniqueName="[Measures].[__No measures defined]" caption="__No measures defined" measure="1" displayFolder="" count="0" hidden="1"/>
    <cacheHierarchy uniqueName="[Measures].[Sum of CustomerID]" caption="Sum of CustomerID" measure="1" displayFolder="" measureGroup="OrdersT" count="0" hidden="1">
      <extLst>
        <ext xmlns:x15="http://schemas.microsoft.com/office/spreadsheetml/2010/11/main" uri="{B97F6D7D-B522-45F9-BDA1-12C45D357490}">
          <x15:cacheHierarchy aggregatedColumn="4"/>
        </ext>
      </extLst>
    </cacheHierarchy>
    <cacheHierarchy uniqueName="[Measures].[Distinct Count of CustomerID]" caption="Distinct Count of CustomerID" measure="1" displayFolder="" measureGroup="OrdersT"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OrdersT"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T" count="0" hidden="1">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OrdersT" count="0" hidden="1">
      <extLst>
        <ext xmlns:x15="http://schemas.microsoft.com/office/spreadsheetml/2010/11/main" uri="{B97F6D7D-B522-45F9-BDA1-12C45D357490}">
          <x15:cacheHierarchy aggregatedColumn="14"/>
        </ext>
      </extLst>
    </cacheHierarchy>
    <cacheHierarchy uniqueName="[Measures].[Sum of OrderID]" caption="Sum of OrderID" measure="1" displayFolder="" measureGroup="OrdersT"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OrdersT"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OrdersT" uniqueName="[OrdersT]" caption="OrdersT"/>
  </dimensions>
  <measureGroups count="1">
    <measureGroup name="OrdersT" caption="Orders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5.014528819447" backgroundQuery="1" createdVersion="7" refreshedVersion="7" minRefreshableVersion="3" recordCount="0" supportSubquery="1" supportAdvancedDrill="1" xr:uid="{001AA0CA-5663-4D1A-AA95-9BCF5CDC9FE5}">
  <cacheSource type="external" connectionId="1"/>
  <cacheFields count="3">
    <cacheField name="[Measures].[Sum of Revenue]" caption="Sum of Revenue" numFmtId="0" hierarchy="24" level="32767"/>
    <cacheField name="[OrdersT].[ProductName].[ProductName]" caption="ProductName" numFmtId="0" hierarchy="10" level="1">
      <sharedItems count="5">
        <s v="Electric Kettle"/>
        <s v="Gaming Headset"/>
        <s v="Printer"/>
        <s v="Smartphone"/>
        <s v="Webcam"/>
      </sharedItems>
    </cacheField>
    <cacheField name="[OrdersT].[Sales Channel].[Sales Channel]" caption="Sales Channel" numFmtId="0" hierarchy="15" level="1">
      <sharedItems count="4">
        <s v="Corporate Sales"/>
        <s v="Marketplace"/>
        <s v="Online"/>
        <s v="Retail Store"/>
      </sharedItems>
    </cacheField>
  </cacheFields>
  <cacheHierarchies count="29">
    <cacheHierarchy uniqueName="[OrdersT].[OrderID]" caption="OrderID" attribute="1" defaultMemberUniqueName="[OrdersT].[OrderID].[All]" allUniqueName="[OrdersT].[OrderID].[All]" dimensionUniqueName="[OrdersT]" displayFolder="" count="0" memberValueDatatype="20" unbalanced="0"/>
    <cacheHierarchy uniqueName="[OrdersT].[OrderDate]" caption="OrderDate" attribute="1" time="1" defaultMemberUniqueName="[OrdersT].[OrderDate].[All]" allUniqueName="[OrdersT].[OrderDate].[All]" dimensionUniqueName="[OrdersT]" displayFolder="" count="2" memberValueDatatype="7" unbalanced="0"/>
    <cacheHierarchy uniqueName="[OrdersT].[Month]" caption="Month" attribute="1" defaultMemberUniqueName="[OrdersT].[Month].[All]" allUniqueName="[OrdersT].[Month].[All]" dimensionUniqueName="[OrdersT]" displayFolder="" count="0" memberValueDatatype="130" unbalanced="0"/>
    <cacheHierarchy uniqueName="[OrdersT].[year]" caption="year" attribute="1" defaultMemberUniqueName="[OrdersT].[year].[All]" allUniqueName="[OrdersT].[year].[All]" dimensionUniqueName="[OrdersT]" displayFolder="" count="0" memberValueDatatype="20" unbalanced="0"/>
    <cacheHierarchy uniqueName="[OrdersT].[CustomerID]" caption="CustomerID" attribute="1" defaultMemberUniqueName="[OrdersT].[CustomerID].[All]" allUniqueName="[OrdersT].[CustomerID].[All]" dimensionUniqueName="[OrdersT]" displayFolder="" count="0" memberValueDatatype="20" unbalanced="0"/>
    <cacheHierarchy uniqueName="[OrdersT].[FullName]" caption="FullName" attribute="1" defaultMemberUniqueName="[OrdersT].[FullName].[All]" allUniqueName="[OrdersT].[FullName].[All]" dimensionUniqueName="[OrdersT]" displayFolder="" count="0" memberValueDatatype="130" unbalanced="0"/>
    <cacheHierarchy uniqueName="[OrdersT].[Age]" caption="Age" attribute="1" defaultMemberUniqueName="[OrdersT].[Age].[All]" allUniqueName="[OrdersT].[Age].[All]" dimensionUniqueName="[OrdersT]" displayFolder="" count="0" memberValueDatatype="20" unbalanced="0"/>
    <cacheHierarchy uniqueName="[OrdersT].[City]" caption="City" attribute="1" defaultMemberUniqueName="[OrdersT].[City].[All]" allUniqueName="[OrdersT].[City].[All]" dimensionUniqueName="[OrdersT]" displayFolder="" count="0" memberValueDatatype="130" unbalanced="0"/>
    <cacheHierarchy uniqueName="[OrdersT].[Region]" caption="Region" attribute="1" defaultMemberUniqueName="[OrdersT].[Region].[All]" allUniqueName="[OrdersT].[Region].[All]" dimensionUniqueName="[OrdersT]" displayFolder="" count="2" memberValueDatatype="130" unbalanced="0"/>
    <cacheHierarchy uniqueName="[OrdersT].[ProductID]" caption="ProductID" attribute="1" defaultMemberUniqueName="[OrdersT].[ProductID].[All]" allUniqueName="[OrdersT].[ProductID].[All]" dimensionUniqueName="[OrdersT]" displayFolder="" count="0" memberValueDatatype="20" unbalanced="0"/>
    <cacheHierarchy uniqueName="[OrdersT].[ProductName]" caption="ProductName" attribute="1" defaultMemberUniqueName="[OrdersT].[ProductName].[All]" allUniqueName="[OrdersT].[ProductName].[All]" dimensionUniqueName="[OrdersT]" displayFolder="" count="2" memberValueDatatype="130" unbalanced="0">
      <fieldsUsage count="2">
        <fieldUsage x="-1"/>
        <fieldUsage x="1"/>
      </fieldsUsage>
    </cacheHierarchy>
    <cacheHierarchy uniqueName="[OrdersT].[Category]" caption="Category" attribute="1" defaultMemberUniqueName="[OrdersT].[Category].[All]" allUniqueName="[OrdersT].[Category].[All]" dimensionUniqueName="[OrdersT]" displayFolder="" count="2" memberValueDatatype="130" unbalanced="0"/>
    <cacheHierarchy uniqueName="[OrdersT].[Price]" caption="Price" attribute="1" defaultMemberUniqueName="[OrdersT].[Price].[All]" allUniqueName="[OrdersT].[Price].[All]" dimensionUniqueName="[OrdersT]" displayFolder="" count="0" memberValueDatatype="5" unbalanced="0"/>
    <cacheHierarchy uniqueName="[OrdersT].[Quantity]" caption="Quantity" attribute="1" defaultMemberUniqueName="[OrdersT].[Quantity].[All]" allUniqueName="[OrdersT].[Quantity].[All]" dimensionUniqueName="[OrdersT]" displayFolder="" count="0" memberValueDatatype="20" unbalanced="0"/>
    <cacheHierarchy uniqueName="[OrdersT].[Revenue]" caption="Revenue" attribute="1" defaultMemberUniqueName="[OrdersT].[Revenue].[All]" allUniqueName="[OrdersT].[Revenue].[All]" dimensionUniqueName="[OrdersT]" displayFolder="" count="0" memberValueDatatype="5" unbalanced="0"/>
    <cacheHierarchy uniqueName="[OrdersT].[Sales Channel]" caption="Sales Channel" attribute="1" defaultMemberUniqueName="[OrdersT].[Sales Channel].[All]" allUniqueName="[OrdersT].[Sales Channel].[All]" dimensionUniqueName="[OrdersT]" displayFolder="" count="2" memberValueDatatype="130" unbalanced="0">
      <fieldsUsage count="2">
        <fieldUsage x="-1"/>
        <fieldUsage x="2"/>
      </fieldsUsage>
    </cacheHierarchy>
    <cacheHierarchy uniqueName="[OrdersT].[OrderDate (Year)]" caption="OrderDate (Year)" attribute="1" defaultMemberUniqueName="[OrdersT].[OrderDate (Year)].[All]" allUniqueName="[OrdersT].[OrderDate (Year)].[All]" dimensionUniqueName="[OrdersT]" displayFolder="" count="0" memberValueDatatype="130" unbalanced="0"/>
    <cacheHierarchy uniqueName="[OrdersT].[OrderDate (Quarter)]" caption="OrderDate (Quarter)" attribute="1" defaultMemberUniqueName="[OrdersT].[OrderDate (Quarter)].[All]" allUniqueName="[OrdersT].[OrderDate (Quarter)].[All]" dimensionUniqueName="[OrdersT]" displayFolder="" count="0" memberValueDatatype="130" unbalanced="0"/>
    <cacheHierarchy uniqueName="[OrdersT].[OrderDate (Month)]" caption="OrderDate (Month)" attribute="1" defaultMemberUniqueName="[OrdersT].[OrderDate (Month)].[All]" allUniqueName="[OrdersT].[OrderDate (Month)].[All]" dimensionUniqueName="[OrdersT]" displayFolder="" count="0" memberValueDatatype="130" unbalanced="0"/>
    <cacheHierarchy uniqueName="[OrdersT].[OrderDate (Month Index)]" caption="OrderDate (Month Index)" attribute="1" defaultMemberUniqueName="[OrdersT].[OrderDate (Month Index)].[All]" allUniqueName="[OrdersT].[OrderDate (Month Index)].[All]" dimensionUniqueName="[OrdersT]" displayFolder="" count="0" memberValueDatatype="20" unbalanced="0" hidden="1"/>
    <cacheHierarchy uniqueName="[Measures].[__XL_Count OrdersT]" caption="__XL_Count OrdersT" measure="1" displayFolder="" measureGroup="OrdersT" count="0" hidden="1"/>
    <cacheHierarchy uniqueName="[Measures].[__No measures defined]" caption="__No measures defined" measure="1" displayFolder="" count="0" hidden="1"/>
    <cacheHierarchy uniqueName="[Measures].[Sum of CustomerID]" caption="Sum of CustomerID" measure="1" displayFolder="" measureGroup="OrdersT" count="0" hidden="1">
      <extLst>
        <ext xmlns:x15="http://schemas.microsoft.com/office/spreadsheetml/2010/11/main" uri="{B97F6D7D-B522-45F9-BDA1-12C45D357490}">
          <x15:cacheHierarchy aggregatedColumn="4"/>
        </ext>
      </extLst>
    </cacheHierarchy>
    <cacheHierarchy uniqueName="[Measures].[Distinct Count of CustomerID]" caption="Distinct Count of CustomerID" measure="1" displayFolder="" measureGroup="OrdersT"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OrdersT"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T" count="0" hidden="1">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OrdersT" count="0" hidden="1">
      <extLst>
        <ext xmlns:x15="http://schemas.microsoft.com/office/spreadsheetml/2010/11/main" uri="{B97F6D7D-B522-45F9-BDA1-12C45D357490}">
          <x15:cacheHierarchy aggregatedColumn="14"/>
        </ext>
      </extLst>
    </cacheHierarchy>
    <cacheHierarchy uniqueName="[Measures].[Sum of OrderID]" caption="Sum of OrderID" measure="1" displayFolder="" measureGroup="OrdersT"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OrdersT"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OrdersT" uniqueName="[OrdersT]" caption="OrdersT"/>
  </dimensions>
  <measureGroups count="1">
    <measureGroup name="OrdersT" caption="Orders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4.45150520833" backgroundQuery="1" createdVersion="3" refreshedVersion="7" minRefreshableVersion="3" recordCount="0" supportSubquery="1" supportAdvancedDrill="1" xr:uid="{20D66D3E-76C6-4D19-AC3C-ACC21BB7127D}">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OrdersT].[OrderID]" caption="OrderID" attribute="1" defaultMemberUniqueName="[OrdersT].[OrderID].[All]" allUniqueName="[OrdersT].[OrderID].[All]" dimensionUniqueName="[OrdersT]" displayFolder="" count="0" memberValueDatatype="20" unbalanced="0"/>
    <cacheHierarchy uniqueName="[OrdersT].[OrderDate]" caption="OrderDate" attribute="1" time="1" defaultMemberUniqueName="[OrdersT].[OrderDate].[All]" allUniqueName="[OrdersT].[OrderDate].[All]" dimensionUniqueName="[OrdersT]" displayFolder="" count="0" memberValueDatatype="7" unbalanced="0"/>
    <cacheHierarchy uniqueName="[OrdersT].[Month]" caption="Month" attribute="1" defaultMemberUniqueName="[OrdersT].[Month].[All]" allUniqueName="[OrdersT].[Month].[All]" dimensionUniqueName="[OrdersT]" displayFolder="" count="0" memberValueDatatype="130" unbalanced="0"/>
    <cacheHierarchy uniqueName="[OrdersT].[year]" caption="year" attribute="1" defaultMemberUniqueName="[OrdersT].[year].[All]" allUniqueName="[OrdersT].[year].[All]" dimensionUniqueName="[OrdersT]" displayFolder="" count="0" memberValueDatatype="20" unbalanced="0"/>
    <cacheHierarchy uniqueName="[OrdersT].[CustomerID]" caption="CustomerID" attribute="1" defaultMemberUniqueName="[OrdersT].[CustomerID].[All]" allUniqueName="[OrdersT].[CustomerID].[All]" dimensionUniqueName="[OrdersT]" displayFolder="" count="0" memberValueDatatype="20" unbalanced="0"/>
    <cacheHierarchy uniqueName="[OrdersT].[FullName]" caption="FullName" attribute="1" defaultMemberUniqueName="[OrdersT].[FullName].[All]" allUniqueName="[OrdersT].[FullName].[All]" dimensionUniqueName="[OrdersT]" displayFolder="" count="0" memberValueDatatype="130" unbalanced="0"/>
    <cacheHierarchy uniqueName="[OrdersT].[Age]" caption="Age" attribute="1" defaultMemberUniqueName="[OrdersT].[Age].[All]" allUniqueName="[OrdersT].[Age].[All]" dimensionUniqueName="[OrdersT]" displayFolder="" count="0" memberValueDatatype="20" unbalanced="0"/>
    <cacheHierarchy uniqueName="[OrdersT].[City]" caption="City" attribute="1" defaultMemberUniqueName="[OrdersT].[City].[All]" allUniqueName="[OrdersT].[City].[All]" dimensionUniqueName="[OrdersT]" displayFolder="" count="0" memberValueDatatype="130" unbalanced="0"/>
    <cacheHierarchy uniqueName="[OrdersT].[Region]" caption="Region" attribute="1" defaultMemberUniqueName="[OrdersT].[Region].[All]" allUniqueName="[OrdersT].[Region].[All]" dimensionUniqueName="[OrdersT]" displayFolder="" count="2" memberValueDatatype="130" unbalanced="0"/>
    <cacheHierarchy uniqueName="[OrdersT].[ProductID]" caption="ProductID" attribute="1" defaultMemberUniqueName="[OrdersT].[ProductID].[All]" allUniqueName="[OrdersT].[ProductID].[All]" dimensionUniqueName="[OrdersT]" displayFolder="" count="0" memberValueDatatype="20" unbalanced="0"/>
    <cacheHierarchy uniqueName="[OrdersT].[ProductName]" caption="ProductName" attribute="1" defaultMemberUniqueName="[OrdersT].[ProductName].[All]" allUniqueName="[OrdersT].[ProductName].[All]" dimensionUniqueName="[OrdersT]" displayFolder="" count="0" memberValueDatatype="130" unbalanced="0"/>
    <cacheHierarchy uniqueName="[OrdersT].[Category]" caption="Category" attribute="1" defaultMemberUniqueName="[OrdersT].[Category].[All]" allUniqueName="[OrdersT].[Category].[All]" dimensionUniqueName="[OrdersT]" displayFolder="" count="2" memberValueDatatype="130" unbalanced="0"/>
    <cacheHierarchy uniqueName="[OrdersT].[Price]" caption="Price" attribute="1" defaultMemberUniqueName="[OrdersT].[Price].[All]" allUniqueName="[OrdersT].[Price].[All]" dimensionUniqueName="[OrdersT]" displayFolder="" count="0" memberValueDatatype="5" unbalanced="0"/>
    <cacheHierarchy uniqueName="[OrdersT].[Quantity]" caption="Quantity" attribute="1" defaultMemberUniqueName="[OrdersT].[Quantity].[All]" allUniqueName="[OrdersT].[Quantity].[All]" dimensionUniqueName="[OrdersT]" displayFolder="" count="0" memberValueDatatype="20" unbalanced="0"/>
    <cacheHierarchy uniqueName="[OrdersT].[Revenue]" caption="Revenue" attribute="1" defaultMemberUniqueName="[OrdersT].[Revenue].[All]" allUniqueName="[OrdersT].[Revenue].[All]" dimensionUniqueName="[OrdersT]" displayFolder="" count="0" memberValueDatatype="5" unbalanced="0"/>
    <cacheHierarchy uniqueName="[OrdersT].[Sales Channel]" caption="Sales Channel" attribute="1" defaultMemberUniqueName="[OrdersT].[Sales Channel].[All]" allUniqueName="[OrdersT].[Sales Channel].[All]" dimensionUniqueName="[OrdersT]" displayFolder="" count="2" memberValueDatatype="130" unbalanced="0"/>
    <cacheHierarchy uniqueName="[OrdersT].[OrderDate (Year)]" caption="OrderDate (Year)" attribute="1" defaultMemberUniqueName="[OrdersT].[OrderDate (Year)].[All]" allUniqueName="[OrdersT].[OrderDate (Year)].[All]" dimensionUniqueName="[OrdersT]" displayFolder="" count="0" memberValueDatatype="130" unbalanced="0"/>
    <cacheHierarchy uniqueName="[OrdersT].[OrderDate (Quarter)]" caption="OrderDate (Quarter)" attribute="1" defaultMemberUniqueName="[OrdersT].[OrderDate (Quarter)].[All]" allUniqueName="[OrdersT].[OrderDate (Quarter)].[All]" dimensionUniqueName="[OrdersT]" displayFolder="" count="0" memberValueDatatype="130" unbalanced="0"/>
    <cacheHierarchy uniqueName="[OrdersT].[OrderDate (Month)]" caption="OrderDate (Month)" attribute="1" defaultMemberUniqueName="[OrdersT].[OrderDate (Month)].[All]" allUniqueName="[OrdersT].[OrderDate (Month)].[All]" dimensionUniqueName="[OrdersT]" displayFolder="" count="0" memberValueDatatype="130" unbalanced="0"/>
    <cacheHierarchy uniqueName="[OrdersT].[OrderDate (Month Index)]" caption="OrderDate (Month Index)" attribute="1" defaultMemberUniqueName="[OrdersT].[OrderDate (Month Index)].[All]" allUniqueName="[OrdersT].[OrderDate (Month Index)].[All]" dimensionUniqueName="[OrdersT]" displayFolder="" count="0" memberValueDatatype="20" unbalanced="0" hidden="1"/>
    <cacheHierarchy uniqueName="[Measures].[__XL_Count OrdersT]" caption="__XL_Count OrdersT" measure="1" displayFolder="" measureGroup="OrdersT" count="0" hidden="1"/>
    <cacheHierarchy uniqueName="[Measures].[__No measures defined]" caption="__No measures defined" measure="1" displayFolder="" count="0" hidden="1"/>
    <cacheHierarchy uniqueName="[Measures].[Sum of CustomerID]" caption="Sum of CustomerID" measure="1" displayFolder="" measureGroup="OrdersT" count="0" hidden="1">
      <extLst>
        <ext xmlns:x15="http://schemas.microsoft.com/office/spreadsheetml/2010/11/main" uri="{B97F6D7D-B522-45F9-BDA1-12C45D357490}">
          <x15:cacheHierarchy aggregatedColumn="4"/>
        </ext>
      </extLst>
    </cacheHierarchy>
    <cacheHierarchy uniqueName="[Measures].[Distinct Count of CustomerID]" caption="Distinct Count of CustomerID" measure="1" displayFolder="" measureGroup="OrdersT"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Orders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T" count="0" hidden="1">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OrdersT" count="0" hidden="1">
      <extLst>
        <ext xmlns:x15="http://schemas.microsoft.com/office/spreadsheetml/2010/11/main" uri="{B97F6D7D-B522-45F9-BDA1-12C45D357490}">
          <x15:cacheHierarchy aggregatedColumn="14"/>
        </ext>
      </extLst>
    </cacheHierarchy>
    <cacheHierarchy uniqueName="[Measures].[Sum of OrderID]" caption="Sum of OrderID" measure="1" displayFolder="" measureGroup="OrdersT"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OrdersT"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191430993"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4.451505555553" backgroundQuery="1" createdVersion="3" refreshedVersion="7" minRefreshableVersion="3" recordCount="0" supportSubquery="1" supportAdvancedDrill="1" xr:uid="{9C2AFE29-7B5E-4359-B12B-BA588A31BB3F}">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OrdersT].[OrderID]" caption="OrderID" attribute="1" defaultMemberUniqueName="[OrdersT].[OrderID].[All]" allUniqueName="[OrdersT].[OrderID].[All]" dimensionUniqueName="[OrdersT]" displayFolder="" count="0" memberValueDatatype="20" unbalanced="0"/>
    <cacheHierarchy uniqueName="[OrdersT].[OrderDate]" caption="OrderDate" attribute="1" time="1" defaultMemberUniqueName="[OrdersT].[OrderDate].[All]" allUniqueName="[OrdersT].[OrderDate].[All]" dimensionUniqueName="[OrdersT]" displayFolder="" count="2" memberValueDatatype="7" unbalanced="0"/>
    <cacheHierarchy uniqueName="[OrdersT].[Month]" caption="Month" attribute="1" defaultMemberUniqueName="[OrdersT].[Month].[All]" allUniqueName="[OrdersT].[Month].[All]" dimensionUniqueName="[OrdersT]" displayFolder="" count="0" memberValueDatatype="130" unbalanced="0"/>
    <cacheHierarchy uniqueName="[OrdersT].[year]" caption="year" attribute="1" defaultMemberUniqueName="[OrdersT].[year].[All]" allUniqueName="[OrdersT].[year].[All]" dimensionUniqueName="[OrdersT]" displayFolder="" count="0" memberValueDatatype="20" unbalanced="0"/>
    <cacheHierarchy uniqueName="[OrdersT].[CustomerID]" caption="CustomerID" attribute="1" defaultMemberUniqueName="[OrdersT].[CustomerID].[All]" allUniqueName="[OrdersT].[CustomerID].[All]" dimensionUniqueName="[OrdersT]" displayFolder="" count="0" memberValueDatatype="20" unbalanced="0"/>
    <cacheHierarchy uniqueName="[OrdersT].[FullName]" caption="FullName" attribute="1" defaultMemberUniqueName="[OrdersT].[FullName].[All]" allUniqueName="[OrdersT].[FullName].[All]" dimensionUniqueName="[OrdersT]" displayFolder="" count="0" memberValueDatatype="130" unbalanced="0"/>
    <cacheHierarchy uniqueName="[OrdersT].[Age]" caption="Age" attribute="1" defaultMemberUniqueName="[OrdersT].[Age].[All]" allUniqueName="[OrdersT].[Age].[All]" dimensionUniqueName="[OrdersT]" displayFolder="" count="0" memberValueDatatype="20" unbalanced="0"/>
    <cacheHierarchy uniqueName="[OrdersT].[City]" caption="City" attribute="1" defaultMemberUniqueName="[OrdersT].[City].[All]" allUniqueName="[OrdersT].[City].[All]" dimensionUniqueName="[OrdersT]" displayFolder="" count="0" memberValueDatatype="130" unbalanced="0"/>
    <cacheHierarchy uniqueName="[OrdersT].[Region]" caption="Region" attribute="1" defaultMemberUniqueName="[OrdersT].[Region].[All]" allUniqueName="[OrdersT].[Region].[All]" dimensionUniqueName="[OrdersT]" displayFolder="" count="0" memberValueDatatype="130" unbalanced="0"/>
    <cacheHierarchy uniqueName="[OrdersT].[ProductID]" caption="ProductID" attribute="1" defaultMemberUniqueName="[OrdersT].[ProductID].[All]" allUniqueName="[OrdersT].[ProductID].[All]" dimensionUniqueName="[OrdersT]" displayFolder="" count="0" memberValueDatatype="20" unbalanced="0"/>
    <cacheHierarchy uniqueName="[OrdersT].[ProductName]" caption="ProductName" attribute="1" defaultMemberUniqueName="[OrdersT].[ProductName].[All]" allUniqueName="[OrdersT].[ProductName].[All]" dimensionUniqueName="[OrdersT]" displayFolder="" count="0" memberValueDatatype="130" unbalanced="0"/>
    <cacheHierarchy uniqueName="[OrdersT].[Category]" caption="Category" attribute="1" defaultMemberUniqueName="[OrdersT].[Category].[All]" allUniqueName="[OrdersT].[Category].[All]" dimensionUniqueName="[OrdersT]" displayFolder="" count="0" memberValueDatatype="130" unbalanced="0"/>
    <cacheHierarchy uniqueName="[OrdersT].[Price]" caption="Price" attribute="1" defaultMemberUniqueName="[OrdersT].[Price].[All]" allUniqueName="[OrdersT].[Price].[All]" dimensionUniqueName="[OrdersT]" displayFolder="" count="0" memberValueDatatype="5" unbalanced="0"/>
    <cacheHierarchy uniqueName="[OrdersT].[Quantity]" caption="Quantity" attribute="1" defaultMemberUniqueName="[OrdersT].[Quantity].[All]" allUniqueName="[OrdersT].[Quantity].[All]" dimensionUniqueName="[OrdersT]" displayFolder="" count="0" memberValueDatatype="20" unbalanced="0"/>
    <cacheHierarchy uniqueName="[OrdersT].[Revenue]" caption="Revenue" attribute="1" defaultMemberUniqueName="[OrdersT].[Revenue].[All]" allUniqueName="[OrdersT].[Revenue].[All]" dimensionUniqueName="[OrdersT]" displayFolder="" count="0" memberValueDatatype="5" unbalanced="0"/>
    <cacheHierarchy uniqueName="[OrdersT].[Sales Channel]" caption="Sales Channel" attribute="1" defaultMemberUniqueName="[OrdersT].[Sales Channel].[All]" allUniqueName="[OrdersT].[Sales Channel].[All]" dimensionUniqueName="[OrdersT]" displayFolder="" count="0" memberValueDatatype="130" unbalanced="0"/>
    <cacheHierarchy uniqueName="[OrdersT].[OrderDate (Year)]" caption="OrderDate (Year)" attribute="1" defaultMemberUniqueName="[OrdersT].[OrderDate (Year)].[All]" allUniqueName="[OrdersT].[OrderDate (Year)].[All]" dimensionUniqueName="[OrdersT]" displayFolder="" count="0" memberValueDatatype="130" unbalanced="0"/>
    <cacheHierarchy uniqueName="[OrdersT].[OrderDate (Quarter)]" caption="OrderDate (Quarter)" attribute="1" defaultMemberUniqueName="[OrdersT].[OrderDate (Quarter)].[All]" allUniqueName="[OrdersT].[OrderDate (Quarter)].[All]" dimensionUniqueName="[OrdersT]" displayFolder="" count="0" memberValueDatatype="130" unbalanced="0"/>
    <cacheHierarchy uniqueName="[OrdersT].[OrderDate (Month)]" caption="OrderDate (Month)" attribute="1" defaultMemberUniqueName="[OrdersT].[OrderDate (Month)].[All]" allUniqueName="[OrdersT].[OrderDate (Month)].[All]" dimensionUniqueName="[OrdersT]" displayFolder="" count="0" memberValueDatatype="130" unbalanced="0"/>
    <cacheHierarchy uniqueName="[OrdersT].[OrderDate (Month Index)]" caption="OrderDate (Month Index)" attribute="1" defaultMemberUniqueName="[OrdersT].[OrderDate (Month Index)].[All]" allUniqueName="[OrdersT].[OrderDate (Month Index)].[All]" dimensionUniqueName="[OrdersT]" displayFolder="" count="0" memberValueDatatype="20" unbalanced="0" hidden="1"/>
    <cacheHierarchy uniqueName="[Measures].[__XL_Count OrdersT]" caption="__XL_Count OrdersT" measure="1" displayFolder="" measureGroup="OrdersT" count="0" hidden="1"/>
    <cacheHierarchy uniqueName="[Measures].[__No measures defined]" caption="__No measures defined" measure="1" displayFolder="" count="0" hidden="1"/>
    <cacheHierarchy uniqueName="[Measures].[Sum of CustomerID]" caption="Sum of CustomerID" measure="1" displayFolder="" measureGroup="OrdersT" count="0" hidden="1">
      <extLst>
        <ext xmlns:x15="http://schemas.microsoft.com/office/spreadsheetml/2010/11/main" uri="{B97F6D7D-B522-45F9-BDA1-12C45D357490}">
          <x15:cacheHierarchy aggregatedColumn="4"/>
        </ext>
      </extLst>
    </cacheHierarchy>
    <cacheHierarchy uniqueName="[Measures].[Distinct Count of CustomerID]" caption="Distinct Count of CustomerID" measure="1" displayFolder="" measureGroup="OrdersT"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Orders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T" count="0" hidden="1">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OrdersT" count="0" hidden="1">
      <extLst>
        <ext xmlns:x15="http://schemas.microsoft.com/office/spreadsheetml/2010/11/main" uri="{B97F6D7D-B522-45F9-BDA1-12C45D357490}">
          <x15:cacheHierarchy aggregatedColumn="14"/>
        </ext>
      </extLst>
    </cacheHierarchy>
    <cacheHierarchy uniqueName="[Measures].[Sum of OrderID]" caption="Sum of OrderID" measure="1" displayFolder="" measureGroup="OrdersT"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OrdersT"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pivotCacheId="167016650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7CD4F0-E0BB-43E0-9767-BF46071ED3A3}" name="Revenue by Region" cacheId="5067"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17">
  <location ref="A3:B9" firstHeaderRow="1" firstDataRow="1" firstDataCol="1"/>
  <pivotFields count="2">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1"/>
    </i>
    <i>
      <x v="3"/>
    </i>
    <i>
      <x v="2"/>
    </i>
    <i>
      <x/>
    </i>
    <i>
      <x v="4"/>
    </i>
    <i t="grand">
      <x/>
    </i>
  </rowItems>
  <colItems count="1">
    <i/>
  </colItems>
  <dataFields count="1">
    <dataField name="Sum of Revenue" fld="1" baseField="0" baseItem="0" numFmtId="42"/>
  </dataFields>
  <chartFormats count="4">
    <chartFormat chart="1"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2 redo.xlsx!OrdersT">
        <x15:activeTabTopLevelEntity name="[Order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B0B455-D6DD-4118-9A4D-0DBED8E35C1B}" name="Top 5 Products" cacheId="5073"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31">
  <location ref="A40:B46" firstHeaderRow="1" firstDataRow="1" firstDataCol="1"/>
  <pivotFields count="2">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i>
    <i>
      <x v="3"/>
    </i>
    <i>
      <x v="1"/>
    </i>
    <i>
      <x v="2"/>
    </i>
    <i>
      <x v="4"/>
    </i>
    <i t="grand">
      <x/>
    </i>
  </rowItems>
  <colItems count="1">
    <i/>
  </colItems>
  <dataFields count="1">
    <dataField name="Sum of Revenue" fld="0" baseField="0" baseItem="0" numFmtId="42"/>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4">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2 redo.xlsx!OrdersT">
        <x15:activeTabTopLevelEntity name="[Order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6B85F0-F577-4C7C-806B-DA10484BDC93}" name="Revenue by sales Channel" cacheId="5082"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32">
  <location ref="A82:B87" firstHeaderRow="1" firstDataRow="1" firstDataCol="1"/>
  <pivotFields count="3">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Items count="1">
    <i/>
  </colItems>
  <dataFields count="1">
    <dataField name="Sum of Revenue" fld="0" baseField="0" baseItem="0" numFmtId="42"/>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21" format="20" series="1">
      <pivotArea type="data" outline="0" fieldPosition="0">
        <references count="1">
          <reference field="4294967294" count="1" selected="0">
            <x v="0"/>
          </reference>
        </references>
      </pivotArea>
    </chartFormat>
    <chartFormat chart="21" format="23">
      <pivotArea type="data" outline="0" fieldPosition="0">
        <references count="2">
          <reference field="4294967294" count="1" selected="0">
            <x v="0"/>
          </reference>
          <reference field="2" count="1" selected="0">
            <x v="2"/>
          </reference>
        </references>
      </pivotArea>
    </chartFormat>
    <chartFormat chart="21" format="29">
      <pivotArea type="data" outline="0" fieldPosition="0">
        <references count="2">
          <reference field="4294967294" count="1" selected="0">
            <x v="0"/>
          </reference>
          <reference field="2" count="1" selected="0">
            <x v="1"/>
          </reference>
        </references>
      </pivotArea>
    </chartFormat>
    <chartFormat chart="21" format="30">
      <pivotArea type="data" outline="0" fieldPosition="0">
        <references count="2">
          <reference field="4294967294" count="1" selected="0">
            <x v="0"/>
          </reference>
          <reference field="2" count="1" selected="0">
            <x v="3"/>
          </reference>
        </references>
      </pivotArea>
    </chartFormat>
    <chartFormat chart="21" format="31">
      <pivotArea type="data" outline="0" fieldPosition="0">
        <references count="2">
          <reference field="4294967294" count="1" selected="0">
            <x v="0"/>
          </reference>
          <reference field="2"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4">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2 redo.xlsx!OrdersT">
        <x15:activeTabTopLevelEntity name="[Order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F2AD38-976C-4F75-B718-8A21DB380B10}" name="Monthly Revenue Trend" cacheId="5079"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20">
  <location ref="A59:D73" firstHeaderRow="1" firstDataRow="2" firstDataCol="1"/>
  <pivotFields count="5">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sortType="descending" defaultSubtotal="0" defaultAttributeDrillState="1">
      <items count="2">
        <item x="1"/>
        <item x="0"/>
      </items>
    </pivotField>
    <pivotField axis="axisRow" allDrilled="1" subtotalTop="0" showAll="0" sortType="ascending" defaultSubtotal="0" defaultAttributeDrillState="1">
      <items count="12">
        <item x="4"/>
        <item x="3"/>
        <item x="7"/>
        <item x="0"/>
        <item x="8"/>
        <item x="6"/>
        <item x="5"/>
        <item x="1"/>
        <item x="11"/>
        <item x="10"/>
        <item x="9"/>
        <item x="2"/>
      </items>
    </pivotField>
    <pivotField axis="axisCol" allDrilled="1" subtotalTop="0" showAll="0" dataSourceSort="1" defaultSubtotal="0" defaultAttributeDrillState="1">
      <items count="4">
        <item x="0"/>
        <item x="1"/>
        <item x="2"/>
        <item x="3"/>
      </items>
    </pivotField>
  </pivotFields>
  <rowFields count="1">
    <field x="3"/>
  </rowFields>
  <rowItems count="13">
    <i>
      <x/>
    </i>
    <i>
      <x v="1"/>
    </i>
    <i>
      <x v="2"/>
    </i>
    <i>
      <x v="3"/>
    </i>
    <i>
      <x v="4"/>
    </i>
    <i>
      <x v="5"/>
    </i>
    <i>
      <x v="6"/>
    </i>
    <i>
      <x v="7"/>
    </i>
    <i>
      <x v="8"/>
    </i>
    <i>
      <x v="9"/>
    </i>
    <i>
      <x v="10"/>
    </i>
    <i>
      <x v="11"/>
    </i>
    <i t="grand">
      <x/>
    </i>
  </rowItems>
  <colFields count="1">
    <field x="4"/>
  </colFields>
  <colItems count="3">
    <i>
      <x/>
    </i>
    <i>
      <x v="1"/>
    </i>
    <i t="grand">
      <x/>
    </i>
  </colItems>
  <dataFields count="1">
    <dataField name="Sum of Revenue" fld="0" baseField="0" baseItem="0" numFmtId="42"/>
  </dataFields>
  <chartFormats count="13">
    <chartFormat chart="0" format="0" series="1">
      <pivotArea type="data" outline="0" fieldPosition="0">
        <references count="2">
          <reference field="4294967294" count="1" selected="0">
            <x v="0"/>
          </reference>
          <reference field="4" count="1" selected="0">
            <x v="2"/>
          </reference>
        </references>
      </pivotArea>
    </chartFormat>
    <chartFormat chart="0" format="1" series="1">
      <pivotArea type="data" outline="0" fieldPosition="0">
        <references count="2">
          <reference field="4294967294" count="1" selected="0">
            <x v="0"/>
          </reference>
          <reference field="4" count="1" selected="0">
            <x v="3"/>
          </reference>
        </references>
      </pivotArea>
    </chartFormat>
    <chartFormat chart="0" format="2">
      <pivotArea type="data" outline="0" fieldPosition="0">
        <references count="3">
          <reference field="4294967294" count="1" selected="0">
            <x v="0"/>
          </reference>
          <reference field="3" count="1" selected="0">
            <x v="10"/>
          </reference>
          <reference field="4" count="1" selected="0">
            <x v="3"/>
          </reference>
        </references>
      </pivotArea>
    </chartFormat>
    <chartFormat chart="1" format="3" series="1">
      <pivotArea type="data" outline="0" fieldPosition="0">
        <references count="2">
          <reference field="4294967294" count="1" selected="0">
            <x v="0"/>
          </reference>
          <reference field="4" count="1" selected="0">
            <x v="2"/>
          </reference>
        </references>
      </pivotArea>
    </chartFormat>
    <chartFormat chart="1" format="4" series="1">
      <pivotArea type="data" outline="0" fieldPosition="0">
        <references count="2">
          <reference field="4294967294" count="1" selected="0">
            <x v="0"/>
          </reference>
          <reference field="4" count="1" selected="0">
            <x v="3"/>
          </reference>
        </references>
      </pivotArea>
    </chartFormat>
    <chartFormat chart="7" format="7" series="1">
      <pivotArea type="data" outline="0" fieldPosition="0">
        <references count="2">
          <reference field="4294967294" count="1" selected="0">
            <x v="0"/>
          </reference>
          <reference field="4" count="1" selected="0">
            <x v="2"/>
          </reference>
        </references>
      </pivotArea>
    </chartFormat>
    <chartFormat chart="7" format="8" series="1">
      <pivotArea type="data" outline="0" fieldPosition="0">
        <references count="2">
          <reference field="4294967294" count="1" selected="0">
            <x v="0"/>
          </reference>
          <reference field="4" count="1" selected="0">
            <x v="3"/>
          </reference>
        </references>
      </pivotArea>
    </chartFormat>
    <chartFormat chart="8" format="9" series="1">
      <pivotArea type="data" outline="0" fieldPosition="0">
        <references count="2">
          <reference field="4294967294" count="1" selected="0">
            <x v="0"/>
          </reference>
          <reference field="4" count="1" selected="0">
            <x v="2"/>
          </reference>
        </references>
      </pivotArea>
    </chartFormat>
    <chartFormat chart="8" format="10" series="1">
      <pivotArea type="data" outline="0" fieldPosition="0">
        <references count="2">
          <reference field="4294967294" count="1" selected="0">
            <x v="0"/>
          </reference>
          <reference field="4" count="1" selected="0">
            <x v="3"/>
          </reference>
        </references>
      </pivotArea>
    </chartFormat>
    <chartFormat chart="16" format="9" series="1">
      <pivotArea type="data" outline="0" fieldPosition="0">
        <references count="2">
          <reference field="4294967294" count="1" selected="0">
            <x v="0"/>
          </reference>
          <reference field="4" count="1" selected="0">
            <x v="2"/>
          </reference>
        </references>
      </pivotArea>
    </chartFormat>
    <chartFormat chart="16" format="10" series="1">
      <pivotArea type="data" outline="0" fieldPosition="0">
        <references count="2">
          <reference field="4294967294" count="1" selected="0">
            <x v="0"/>
          </reference>
          <reference field="4" count="1" selected="0">
            <x v="3"/>
          </reference>
        </references>
      </pivotArea>
    </chartFormat>
    <chartFormat chart="16" format="11" series="1">
      <pivotArea type="data" outline="0" fieldPosition="0">
        <references count="2">
          <reference field="4294967294" count="1" selected="0">
            <x v="0"/>
          </reference>
          <reference field="4" count="1" selected="0">
            <x v="0"/>
          </reference>
        </references>
      </pivotArea>
    </chartFormat>
    <chartFormat chart="16" format="12" series="1">
      <pivotArea type="data" outline="0" fieldPosition="0">
        <references count="2">
          <reference field="4294967294" count="1" selected="0">
            <x v="0"/>
          </reference>
          <reference field="4"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4">
      <autoFilter ref="A1">
        <filterColumn colId="0">
          <top10 val="5" filterVal="5"/>
        </filterColumn>
      </autoFilter>
    </filter>
  </filters>
  <rowHierarchiesUsage count="1">
    <rowHierarchyUsage hierarchyUsage="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2 redo.xlsx!OrdersT">
        <x15:activeTabTopLevelEntity name="[Order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34120E-F521-4A7A-9D41-37D41BDEB4DF}" name="Growth Rates" cacheId="500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76:F79" firstHeaderRow="0" firstDataRow="1" firstDataCol="1"/>
  <pivotFields count="8">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sortType="descending" defaultSubtotal="0" defaultAttributeDrillState="1">
      <items count="2">
        <item x="1"/>
        <item x="0"/>
      </items>
    </pivotField>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s>
  <rowFields count="1">
    <field x="4"/>
  </rowFields>
  <rowItems count="3">
    <i>
      <x/>
    </i>
    <i>
      <x v="1"/>
    </i>
    <i t="grand">
      <x/>
    </i>
  </rowItems>
  <colFields count="1">
    <field x="-2"/>
  </colFields>
  <colItems count="5">
    <i>
      <x/>
    </i>
    <i i="1">
      <x v="1"/>
    </i>
    <i i="2">
      <x v="2"/>
    </i>
    <i i="3">
      <x v="3"/>
    </i>
    <i i="4">
      <x v="4"/>
    </i>
  </colItems>
  <dataFields count="5">
    <dataField name="Sum of Revenue" fld="0" baseField="0" baseItem="0" numFmtId="42"/>
    <dataField name="Average of Revenue" fld="3" subtotal="average" baseField="0" baseItem="1" numFmtId="5"/>
    <dataField name="Count of OrderID" fld="6" subtotal="count" baseField="4" baseItem="0"/>
    <dataField name="Sum of Quantity" fld="5" baseField="0" baseItem="0"/>
    <dataField name="Distinct Count of CustomerID" fld="7" subtotal="count" baseField="4" baseItem="0">
      <extLst>
        <ext xmlns:x15="http://schemas.microsoft.com/office/spreadsheetml/2010/11/main" uri="{FABC7310-3BB5-11E1-824E-6D434824019B}">
          <x15:dataField isCountDistinct="1"/>
        </ext>
      </extLst>
    </dataField>
  </dataFields>
  <formats count="3">
    <format dxfId="8">
      <pivotArea dataOnly="0" labelOnly="1" outline="0" fieldPosition="0">
        <references count="1">
          <reference field="4294967294" count="1">
            <x v="0"/>
          </reference>
        </references>
      </pivotArea>
    </format>
    <format dxfId="7">
      <pivotArea collapsedLevelsAreSubtotals="1" fieldPosition="0">
        <references count="2">
          <reference field="4294967294" count="1" selected="0">
            <x v="0"/>
          </reference>
          <reference field="4" count="1">
            <x v="2"/>
          </reference>
        </references>
      </pivotArea>
    </format>
    <format dxfId="6">
      <pivotArea collapsedLevelsAreSubtotals="1" fieldPosition="0">
        <references count="2">
          <reference field="4294967294" count="1" selected="0">
            <x v="0"/>
          </reference>
          <reference field="4" count="1">
            <x v="3"/>
          </reference>
        </references>
      </pivotArea>
    </format>
  </formats>
  <pivotHierarchies count="2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ID"/>
    <pivotHierarchy dragToData="1"/>
    <pivotHierarchy dragToData="1"/>
    <pivotHierarchy dragToData="1" caption="Average of Revenue"/>
    <pivotHierarchy dragToData="1"/>
    <pivotHierarchy dragToData="1" caption="Count of OrderID"/>
  </pivotHierarchies>
  <pivotTableStyleInfo name="PivotStyleLight16" showRowHeaders="1" showColHeaders="1" showRowStripes="0" showColStripes="0" showLastColumn="1"/>
  <filters count="1">
    <filter fld="1" type="count" id="1" iMeasureHier="24">
      <autoFilter ref="A1">
        <filterColumn colId="0">
          <top10 val="5" filterVal="5"/>
        </filterColumn>
      </autoFilter>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2 redo.xlsx!OrdersT">
        <x15:activeTabTopLevelEntity name="[Order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C33B4B-CDAD-464D-9247-FB1472DA987B}" name="Revenue by Product Category" cacheId="5070"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24">
  <location ref="A14:B21" firstHeaderRow="1" firstDataRow="1" firstDataCol="1"/>
  <pivotFields count="2">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1"/>
  </rowFields>
  <rowItems count="7">
    <i>
      <x v="2"/>
    </i>
    <i>
      <x/>
    </i>
    <i>
      <x v="1"/>
    </i>
    <i>
      <x v="4"/>
    </i>
    <i>
      <x v="5"/>
    </i>
    <i>
      <x v="3"/>
    </i>
    <i t="grand">
      <x/>
    </i>
  </rowItems>
  <colItems count="1">
    <i/>
  </colItems>
  <dataFields count="1">
    <dataField name="Sum of Revenue" fld="0" baseField="0" baseItem="0" numFmtId="42"/>
  </dataFields>
  <chartFormats count="4">
    <chartFormat chart="0"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2 redo.xlsx!OrdersT">
        <x15:activeTabTopLevelEntity name="[Order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D7D7E0-F124-428D-96DC-0E520AC332ED}" name="Revenue Trend" cacheId="5064"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location ref="A25:B28" firstHeaderRow="1" firstDataRow="1" firstDataCol="1"/>
  <pivotFields count="5">
    <pivotField dataField="1" subtotalTop="0" showAll="0" defaultSubtotal="0"/>
    <pivotField axis="axisRow" allDrilled="1" subtotalTop="0" showAll="0" dataSourceSort="1" defaultSubtotal="0" defaultAttributeDrillState="1">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2">
        <item x="0" e="0"/>
        <item x="1" e="0"/>
      </items>
    </pivotField>
  </pivotFields>
  <rowFields count="4">
    <field x="4"/>
    <field x="3"/>
    <field x="2"/>
    <field x="1"/>
  </rowFields>
  <rowItems count="3">
    <i>
      <x/>
    </i>
    <i>
      <x v="1"/>
    </i>
    <i t="grand">
      <x/>
    </i>
  </rowItems>
  <colItems count="1">
    <i/>
  </colItems>
  <dataFields count="1">
    <dataField name="Sum of Revenue" fld="0" baseField="0" baseItem="0" numFmtId="42"/>
  </dataFields>
  <pivotHierarchies count="2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6"/>
    <rowHierarchyUsage hierarchyUsage="17"/>
    <rowHierarchyUsage hierarchyUsage="18"/>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2 redo.xlsx!OrdersT">
        <x15:activeTabTopLevelEntity name="[Order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43E5A7-3CC9-44B9-8237-381A0C4F783D}" name="KPIs" cacheId="5076"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location ref="A55:E56" firstHeaderRow="0" firstDataRow="1" firstDataCol="0"/>
  <pivotFields count="7">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sortType="descending" defaultSubtotal="0" defaultAttributeDrillState="1">
      <items count="2">
        <item x="1"/>
        <item x="0"/>
      </items>
    </pivotField>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Sum of Revenue" fld="0" baseField="0" baseItem="0" numFmtId="42"/>
    <dataField name="Average of Revenue" fld="4" subtotal="average" baseField="0" baseItem="2" numFmtId="42"/>
    <dataField name="Sum of Quantity" fld="3" baseField="0" baseItem="0" numFmtId="167"/>
    <dataField name="Count of OrderID" fld="5" subtotal="count" baseField="0" baseItem="3"/>
    <dataField name="Distinct Count of CustomerID" fld="6" subtotal="count" baseField="0" baseItem="4">
      <extLst>
        <ext xmlns:x15="http://schemas.microsoft.com/office/spreadsheetml/2010/11/main" uri="{FABC7310-3BB5-11E1-824E-6D434824019B}">
          <x15:dataField isCountDistinct="1"/>
        </ext>
      </extLst>
    </dataField>
  </dataFields>
  <formats count="3">
    <format dxfId="11">
      <pivotArea outline="0" collapsedLevelsAreSubtotals="1" fieldPosition="0">
        <references count="1">
          <reference field="4294967294" count="1" selected="0">
            <x v="1"/>
          </reference>
        </references>
      </pivotArea>
    </format>
    <format dxfId="10">
      <pivotArea outline="0" fieldPosition="0">
        <references count="1">
          <reference field="4294967294" count="1">
            <x v="2"/>
          </reference>
        </references>
      </pivotArea>
    </format>
    <format dxfId="9">
      <pivotArea outline="0" collapsedLevelsAreSubtotals="1" fieldPosition="0">
        <references count="1">
          <reference field="4294967294" count="1" selected="0">
            <x v="2"/>
          </reference>
        </references>
      </pivotArea>
    </format>
  </formats>
  <pivotHierarchies count="2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ID"/>
    <pivotHierarchy dragToData="1"/>
    <pivotHierarchy dragToData="1"/>
    <pivotHierarchy dragToData="1" caption="Average of Revenue"/>
    <pivotHierarchy dragToData="1"/>
    <pivotHierarchy dragToData="1" caption="Count of OrderID"/>
  </pivotHierarchies>
  <pivotTableStyleInfo name="PivotStyleLight16" showRowHeaders="1" showColHeaders="1" showRowStripes="0" showColStripes="0" showLastColumn="1"/>
  <filters count="1">
    <filter fld="1" type="count" id="1" iMeasureHier="24">
      <autoFilter ref="A1">
        <filterColumn colId="0">
          <top10 val="5" filterVal="5"/>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2 redo.xlsx!OrdersT">
        <x15:activeTabTopLevelEntity name="[Orders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3A343D8-6CAA-482D-BA3A-9EF7C3F2E6D2}" sourceName="[OrdersT].[Region]">
  <pivotTables>
    <pivotTable tabId="15" name="Revenue by Region"/>
    <pivotTable tabId="15" name="Revenue by Product Category"/>
    <pivotTable tabId="15" name="Revenue Trend"/>
    <pivotTable tabId="15" name="Top 5 Products"/>
    <pivotTable tabId="15" name="KPIs"/>
    <pivotTable tabId="15" name="Monthly Revenue Trend"/>
    <pivotTable tabId="15" name="Growth Rates"/>
    <pivotTable tabId="15" name="Revenue by sales Channel"/>
  </pivotTables>
  <data>
    <olap pivotCacheId="1191430993">
      <levels count="2">
        <level uniqueName="[OrdersT].[Region].[(All)]" sourceCaption="(All)" count="0"/>
        <level uniqueName="[OrdersT].[Region].[Region]" sourceCaption="Region" count="5">
          <ranges>
            <range startItem="0">
              <i n="[OrdersT].[Region].&amp;[North Central]" c="North Central"/>
              <i n="[OrdersT].[Region].&amp;[North West]" c="North West"/>
              <i n="[OrdersT].[Region].&amp;[South East]" c="South East"/>
              <i n="[OrdersT].[Region].&amp;[South South]" c="South South"/>
              <i n="[OrdersT].[Region].&amp;[South West]" c="South West"/>
            </range>
          </ranges>
        </level>
      </levels>
      <selections count="1">
        <selection n="[OrdersT].[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3ACE6A3-1FDB-41B2-BFDA-9F9EEE3C8BB7}" sourceName="[OrdersT].[Category]">
  <pivotTables>
    <pivotTable tabId="15" name="Top 5 Products"/>
    <pivotTable tabId="15" name="Revenue by Region"/>
    <pivotTable tabId="15" name="Revenue by Product Category"/>
    <pivotTable tabId="15" name="Revenue Trend"/>
    <pivotTable tabId="15" name="KPIs"/>
    <pivotTable tabId="15" name="Monthly Revenue Trend"/>
    <pivotTable tabId="15" name="Growth Rates"/>
    <pivotTable tabId="15" name="Revenue by sales Channel"/>
  </pivotTables>
  <data>
    <olap pivotCacheId="1191430993">
      <levels count="2">
        <level uniqueName="[OrdersT].[Category].[(All)]" sourceCaption="(All)" count="0"/>
        <level uniqueName="[OrdersT].[Category].[Category]" sourceCaption="Category" count="6">
          <ranges>
            <range startItem="0">
              <i n="[OrdersT].[Category].&amp;[Accessories]" c="Accessories"/>
              <i n="[OrdersT].[Category].&amp;[Electronics]" c="Electronics"/>
              <i n="[OrdersT].[Category].&amp;[Gaming]" c="Gaming"/>
              <i n="[OrdersT].[Category].&amp;[Home Appliances]" c="Home Appliances"/>
              <i n="[OrdersT].[Category].&amp;[Lifestyle]" c="Lifestyle"/>
              <i n="[OrdersT].[Category].&amp;[Office]" c="Office"/>
            </range>
          </ranges>
        </level>
      </levels>
      <selections count="1">
        <selection n="[OrdersT].[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5B3803E0-61B7-4C05-8DC0-F2ECC2BD02FB}" sourceName="[OrdersT].[Sales Channel]">
  <pivotTables>
    <pivotTable tabId="15" name="Revenue by sales Channel"/>
    <pivotTable tabId="15" name="Growth Rates"/>
    <pivotTable tabId="15" name="KPIs"/>
    <pivotTable tabId="15" name="Monthly Revenue Trend"/>
    <pivotTable tabId="15" name="Revenue by Product Category"/>
    <pivotTable tabId="15" name="Revenue by Region"/>
    <pivotTable tabId="15" name="Revenue Trend"/>
    <pivotTable tabId="15" name="Top 5 Products"/>
  </pivotTables>
  <data>
    <olap pivotCacheId="1191430993">
      <levels count="2">
        <level uniqueName="[OrdersT].[Sales Channel].[(All)]" sourceCaption="(All)" count="0"/>
        <level uniqueName="[OrdersT].[Sales Channel].[Sales Channel]" sourceCaption="Sales Channel" count="4">
          <ranges>
            <range startItem="0">
              <i n="[OrdersT].[Sales Channel].&amp;[Corporate Sales]" c="Corporate Sales"/>
              <i n="[OrdersT].[Sales Channel].&amp;[Marketplace]" c="Marketplace"/>
              <i n="[OrdersT].[Sales Channel].&amp;[Online]" c="Online"/>
              <i n="[OrdersT].[Sales Channel].&amp;[Retail Store]" c="Retail Store"/>
            </range>
          </ranges>
        </level>
      </levels>
      <selections count="1">
        <selection n="[OrdersT].[Sales Chann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5" xr10:uid="{194E82BF-7B3F-4463-B197-39FAD0D98CE6}" cache="Slicer_Region1" caption="Region" level="1" style="Slicer Style 1" rowHeight="234950"/>
  <slicer name="Category 3" xr10:uid="{B6DAFF16-5FE0-4956-B90C-80326395520D}" cache="Slicer_Category" caption="Category" level="1" style="Slicer Style 1" rowHeight="234950"/>
  <slicer name="Sales Channel 3" xr10:uid="{533C013E-2963-4725-8CDC-69A5DA1EEB3D}" cache="Slicer_Sales_Channel" caption="Sales Channel" level="1"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D0E18F-08C5-46ED-9F29-F2A662F6C102}" name="Table2" displayName="Table2" ref="A1:F17" totalsRowShown="0" headerRowDxfId="48" dataDxfId="46" headerRowBorderDxfId="47" tableBorderDxfId="45" totalsRowBorderDxfId="44">
  <autoFilter ref="A1:F17" xr:uid="{4CD0E18F-08C5-46ED-9F29-F2A662F6C102}"/>
  <tableColumns count="6">
    <tableColumn id="1" xr3:uid="{C497527B-EE74-4F94-B60C-B69B2FFD2A82}" name="ID" dataDxfId="43"/>
    <tableColumn id="2" xr3:uid="{482381E9-074F-46A6-9FC2-FEECD727B530}" name="Issue" dataDxfId="42"/>
    <tableColumn id="3" xr3:uid="{5244504B-54A7-49F3-A22D-8CAE80117190}" name="Field" dataDxfId="41"/>
    <tableColumn id="4" xr3:uid="{5988162A-0D0B-44E5-A4F9-562D8AC65614}" name="Action" dataDxfId="40"/>
    <tableColumn id="5" xr3:uid="{B404C0DD-7A63-449B-9375-9C482B60CB9B}" name="Rows" dataDxfId="39"/>
    <tableColumn id="6" xr3:uid="{705A4336-3559-4227-8F41-954C875E0876}" name="Status" dataDxfId="3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A7C665-EBB4-4846-8781-46E26155A70B}" name="OrdersT" displayName="OrdersT" ref="A1:P501">
  <autoFilter ref="A1:P501" xr:uid="{7BA7C665-EBB4-4846-8781-46E26155A70B}"/>
  <tableColumns count="16">
    <tableColumn id="1" xr3:uid="{8E3F538C-7DDF-4F4E-9132-F4934B503DFC}" name="OrderID" totalsRowLabel="Total" dataDxfId="37"/>
    <tableColumn id="2" xr3:uid="{0DC5DCFB-736B-4A14-8A1B-53527882520B}" name="OrderDate" dataDxfId="36"/>
    <tableColumn id="18" xr3:uid="{7C4F3F46-6581-438A-837A-BD5BEF02204E}" name="Month" dataDxfId="35">
      <calculatedColumnFormula>TEXT(B2,"mmm")</calculatedColumnFormula>
    </tableColumn>
    <tableColumn id="15" xr3:uid="{3FC95A63-79DA-4014-9836-191CD0B72076}" name="year" dataDxfId="34">
      <calculatedColumnFormula>YEAR(B2)</calculatedColumnFormula>
    </tableColumn>
    <tableColumn id="3" xr3:uid="{7F280669-35F5-420D-A699-5FEC15E26AE8}" name="CustomerID" dataDxfId="33"/>
    <tableColumn id="4" xr3:uid="{E6996D3E-4AF4-41C0-BBD9-518BDD030268}" name="FullName" dataDxfId="32" totalsRowDxfId="31"/>
    <tableColumn id="5" xr3:uid="{5416584E-DA68-401F-AD56-715FC4FCC48A}" name="Age" dataDxfId="30"/>
    <tableColumn id="6" xr3:uid="{E613C597-8BB3-43B2-836A-4CB7DB735490}" name="City"/>
    <tableColumn id="7" xr3:uid="{9A609B84-DDC0-40DD-8829-BBCF3472233F}" name="Region"/>
    <tableColumn id="8" xr3:uid="{F0B9BFE6-8614-4880-A9C0-208188D82F45}" name="ProductID"/>
    <tableColumn id="9" xr3:uid="{459563E1-5D8E-4419-9C59-731FF92221E4}" name="ProductName"/>
    <tableColumn id="10" xr3:uid="{F8B4960B-ADAB-4297-9A2F-5DE339FB9DD1}" name="Category"/>
    <tableColumn id="11" xr3:uid="{748115CC-0E9F-40E7-8DA6-489B7985B7C6}" name="Price" dataDxfId="29"/>
    <tableColumn id="12" xr3:uid="{20CA7659-8884-4D6D-B9A3-D201CB3DC895}" name="Quantity" dataDxfId="28"/>
    <tableColumn id="13" xr3:uid="{2547E1F2-E8DA-446E-BDAB-FD2458C9FAF2}" name="Revenue" dataDxfId="27">
      <calculatedColumnFormula>M2*N2</calculatedColumnFormula>
    </tableColumn>
    <tableColumn id="14" xr3:uid="{70F00955-5D3B-4EDF-8EF5-3F545CAD8113}" name="Sales Channel" dataDxfId="26"/>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82E4B36-B5FE-4E4F-8911-2119490C3014}" name="Table386" displayName="Table386" ref="S19:W25" totalsRowShown="0">
  <autoFilter ref="S19:W25" xr:uid="{082E4B36-B5FE-4E4F-8911-2119490C3014}"/>
  <tableColumns count="5">
    <tableColumn id="1" xr3:uid="{67AF5DB0-E3B5-487E-8313-9C39545F41D8}" name="."/>
    <tableColumn id="2" xr3:uid="{B5A17376-2EF5-46DC-939C-25113F66C451}" name="Age"/>
    <tableColumn id="3" xr3:uid="{45913509-787C-4A44-98FE-FB530D51638A}" name="Price"/>
    <tableColumn id="4" xr3:uid="{DEF34358-7E3A-4611-A475-B883A51F2729}" name="Quantity"/>
    <tableColumn id="5" xr3:uid="{947657C9-DBBB-418F-8D3F-23A85ACDF3DA}" name="Revenu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9F08A3-1738-4C66-95BE-45DF2CA0825D}" name="Table254" displayName="Table254" ref="S7:Z15" totalsRowShown="0" headerRowDxfId="25" dataDxfId="23" headerRowBorderDxfId="24" tableBorderDxfId="22">
  <autoFilter ref="S7:Z15" xr:uid="{B79F08A3-1738-4C66-95BE-45DF2CA0825D}"/>
  <tableColumns count="8">
    <tableColumn id="1" xr3:uid="{223D659B-62AC-4B6E-9825-00E2EFF92556}" name="AGE" dataDxfId="21"/>
    <tableColumn id="2" xr3:uid="{AD7D6D70-F214-4727-A42F-EE8142664398}" name="Age Stats" dataDxfId="20"/>
    <tableColumn id="3" xr3:uid="{468A86DB-8750-49DA-97CA-FF2C0514688E}" name="Price" dataDxfId="19"/>
    <tableColumn id="4" xr3:uid="{7D20A656-A833-4DA2-841E-DD0D23A1AAF5}" name="Price Stats" dataDxfId="18"/>
    <tableColumn id="5" xr3:uid="{0DF24F4C-0844-42E7-BD80-A6FE4FBDD899}" name="Quantity" dataDxfId="17"/>
    <tableColumn id="6" xr3:uid="{91E30C81-F88D-4161-90D1-B23052DC3E2C}" name="Quantity Stats" dataDxfId="16"/>
    <tableColumn id="7" xr3:uid="{66E107E8-F1DA-4B77-B0B0-863590C83E9C}" name="Revenue" dataDxfId="15"/>
    <tableColumn id="8" xr3:uid="{268B1480-5428-4734-85DC-D51B972FC081}" name="Revenue stats" dataDxfId="1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2D6564-A63A-4AF4-B1D1-5D254B4CD58D}" name="Table7" displayName="Table7" ref="Y18:AC23" totalsRowShown="0" headerRowDxfId="13">
  <autoFilter ref="Y18:AC23" xr:uid="{792D6564-A63A-4AF4-B1D1-5D254B4CD58D}"/>
  <tableColumns count="5">
    <tableColumn id="1" xr3:uid="{309ABC18-00E4-49EA-92FE-C1088E2E497D}" name="KPIS"/>
    <tableColumn id="2" xr3:uid="{37740E7F-CFCC-487D-AEA8-554190F6C5FD}" name="Total"/>
    <tableColumn id="3" xr3:uid="{4EACD464-1924-49B5-BAF8-823E16FC56FF}" name="2024"/>
    <tableColumn id="4" xr3:uid="{49AA89FE-8C46-45F9-BB15-ED371F3008FE}" name="2025"/>
    <tableColumn id="5" xr3:uid="{FF1ADA3A-6483-4364-A6E0-541291EFA222}" name="YoY Groth Rate" dataDxf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CDB5A4AA-167B-4CD4-B048-048ED57057D2}" sourceName="[OrdersT].[OrderDate]">
  <pivotTables>
    <pivotTable tabId="15" name="Revenue Trend"/>
    <pivotTable tabId="15" name="Revenue by Region"/>
    <pivotTable tabId="15" name="Revenue by Product Category"/>
    <pivotTable tabId="15" name="Top 5 Products"/>
    <pivotTable tabId="15" name="KPIs"/>
    <pivotTable tabId="15" name="Monthly Revenue Trend"/>
    <pivotTable tabId="15" name="Revenue by sales Channel"/>
  </pivotTables>
  <state minimalRefreshVersion="6" lastRefreshVersion="6" pivotCacheId="1670166505"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7" xr10:uid="{5E64B396-963C-443F-9BAE-F30BE7DE70B8}" cache="Timeline_OrderDate" caption="Order Date" showHorizontalScrollbar="0" level="0" selectionLevel="0" scrollPosition="2024-01-01T00:00:00" style="TimeSlicerStyleDark1"/>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1.bin"/><Relationship Id="rId5" Type="http://schemas.openxmlformats.org/officeDocument/2006/relationships/table" Target="../tables/table5.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3EAE2-5722-4466-8B80-ECD09DC25514}">
  <dimension ref="A1:N513"/>
  <sheetViews>
    <sheetView workbookViewId="0">
      <selection activeCell="C2" sqref="C2"/>
    </sheetView>
  </sheetViews>
  <sheetFormatPr defaultRowHeight="14.4" x14ac:dyDescent="0.3"/>
  <cols>
    <col min="2" max="2" width="11.777343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v>
      </c>
      <c r="B2" s="37">
        <v>45808</v>
      </c>
      <c r="C2">
        <v>96</v>
      </c>
      <c r="D2" t="s">
        <v>14</v>
      </c>
      <c r="E2" t="s">
        <v>15</v>
      </c>
      <c r="F2">
        <v>69</v>
      </c>
      <c r="G2" t="s">
        <v>16</v>
      </c>
      <c r="H2" t="s">
        <v>17</v>
      </c>
      <c r="I2">
        <v>23</v>
      </c>
      <c r="J2" t="s">
        <v>18</v>
      </c>
      <c r="K2" t="s">
        <v>19</v>
      </c>
      <c r="L2">
        <v>195.22</v>
      </c>
      <c r="M2">
        <v>4</v>
      </c>
      <c r="N2">
        <v>780.88</v>
      </c>
    </row>
    <row r="3" spans="1:14" x14ac:dyDescent="0.3">
      <c r="A3">
        <v>2</v>
      </c>
      <c r="B3" s="37">
        <v>45853</v>
      </c>
      <c r="C3">
        <v>42</v>
      </c>
      <c r="D3" t="s">
        <v>20</v>
      </c>
      <c r="E3" t="s">
        <v>21</v>
      </c>
      <c r="F3">
        <v>45</v>
      </c>
      <c r="G3" t="s">
        <v>22</v>
      </c>
      <c r="H3" t="s">
        <v>23</v>
      </c>
      <c r="I3">
        <v>27</v>
      </c>
      <c r="J3" t="s">
        <v>24</v>
      </c>
      <c r="K3" t="s">
        <v>25</v>
      </c>
      <c r="L3">
        <v>845</v>
      </c>
      <c r="M3">
        <v>4</v>
      </c>
      <c r="N3">
        <v>3380</v>
      </c>
    </row>
    <row r="4" spans="1:14" x14ac:dyDescent="0.3">
      <c r="A4">
        <v>3</v>
      </c>
      <c r="B4" s="37">
        <v>45454</v>
      </c>
      <c r="C4">
        <v>104</v>
      </c>
      <c r="D4" t="s">
        <v>26</v>
      </c>
      <c r="E4" t="s">
        <v>27</v>
      </c>
      <c r="F4">
        <v>56</v>
      </c>
      <c r="G4" t="s">
        <v>22</v>
      </c>
      <c r="H4" t="s">
        <v>23</v>
      </c>
      <c r="I4">
        <v>3</v>
      </c>
      <c r="J4" t="s">
        <v>28</v>
      </c>
      <c r="K4" t="s">
        <v>29</v>
      </c>
      <c r="L4">
        <v>922.74</v>
      </c>
      <c r="M4">
        <v>6</v>
      </c>
      <c r="N4">
        <v>5536.44</v>
      </c>
    </row>
    <row r="5" spans="1:14" x14ac:dyDescent="0.3">
      <c r="A5">
        <v>4</v>
      </c>
      <c r="B5" s="37">
        <v>45778</v>
      </c>
      <c r="C5">
        <v>14</v>
      </c>
      <c r="D5" t="s">
        <v>30</v>
      </c>
      <c r="E5" t="s">
        <v>31</v>
      </c>
      <c r="F5">
        <v>67</v>
      </c>
      <c r="G5" t="s">
        <v>32</v>
      </c>
      <c r="H5" t="s">
        <v>33</v>
      </c>
      <c r="I5">
        <v>2</v>
      </c>
      <c r="J5" t="s">
        <v>34</v>
      </c>
      <c r="K5" t="s">
        <v>29</v>
      </c>
      <c r="L5">
        <v>1476.14</v>
      </c>
      <c r="M5">
        <v>4</v>
      </c>
      <c r="N5">
        <v>5904.56</v>
      </c>
    </row>
    <row r="6" spans="1:14" x14ac:dyDescent="0.3">
      <c r="A6">
        <v>5</v>
      </c>
      <c r="B6" s="37">
        <v>45557</v>
      </c>
      <c r="C6">
        <v>72</v>
      </c>
      <c r="D6" t="s">
        <v>35</v>
      </c>
      <c r="E6" t="s">
        <v>36</v>
      </c>
      <c r="F6">
        <v>43</v>
      </c>
      <c r="G6" t="s">
        <v>16</v>
      </c>
      <c r="H6" t="s">
        <v>17</v>
      </c>
      <c r="I6">
        <v>12</v>
      </c>
      <c r="J6" t="s">
        <v>37</v>
      </c>
      <c r="K6" t="s">
        <v>38</v>
      </c>
      <c r="L6">
        <v>1036.1199999999999</v>
      </c>
      <c r="M6">
        <v>2</v>
      </c>
      <c r="N6">
        <v>2072.2399999999998</v>
      </c>
    </row>
    <row r="7" spans="1:14" x14ac:dyDescent="0.3">
      <c r="A7">
        <v>6</v>
      </c>
      <c r="B7" s="37">
        <v>45944</v>
      </c>
      <c r="C7">
        <v>119</v>
      </c>
      <c r="D7" t="s">
        <v>39</v>
      </c>
      <c r="E7" t="s">
        <v>31</v>
      </c>
      <c r="F7">
        <v>61</v>
      </c>
      <c r="G7" t="s">
        <v>16</v>
      </c>
      <c r="H7" t="s">
        <v>17</v>
      </c>
      <c r="I7">
        <v>13</v>
      </c>
      <c r="J7" t="s">
        <v>40</v>
      </c>
      <c r="K7" t="s">
        <v>38</v>
      </c>
      <c r="L7">
        <v>1340.6</v>
      </c>
      <c r="M7">
        <v>3</v>
      </c>
      <c r="N7">
        <v>4021.8</v>
      </c>
    </row>
    <row r="8" spans="1:14" x14ac:dyDescent="0.3">
      <c r="A8">
        <v>7</v>
      </c>
      <c r="B8" s="37">
        <v>45825</v>
      </c>
      <c r="C8">
        <v>113</v>
      </c>
      <c r="D8" t="s">
        <v>30</v>
      </c>
      <c r="E8" t="s">
        <v>41</v>
      </c>
      <c r="F8">
        <v>29</v>
      </c>
      <c r="G8" t="s">
        <v>32</v>
      </c>
      <c r="H8" t="s">
        <v>33</v>
      </c>
      <c r="I8">
        <v>17</v>
      </c>
      <c r="J8" t="s">
        <v>42</v>
      </c>
      <c r="K8" t="s">
        <v>43</v>
      </c>
      <c r="L8">
        <v>339.98</v>
      </c>
      <c r="M8">
        <v>4</v>
      </c>
      <c r="N8">
        <v>1359.92</v>
      </c>
    </row>
    <row r="9" spans="1:14" x14ac:dyDescent="0.3">
      <c r="A9">
        <v>8</v>
      </c>
      <c r="B9" s="37">
        <v>45933</v>
      </c>
      <c r="C9">
        <v>102</v>
      </c>
      <c r="D9" t="s">
        <v>36</v>
      </c>
      <c r="E9" t="s">
        <v>44</v>
      </c>
      <c r="F9">
        <v>50</v>
      </c>
      <c r="G9" t="s">
        <v>22</v>
      </c>
      <c r="H9" t="s">
        <v>23</v>
      </c>
      <c r="I9">
        <v>24</v>
      </c>
      <c r="J9" t="s">
        <v>45</v>
      </c>
      <c r="K9" t="s">
        <v>19</v>
      </c>
      <c r="L9">
        <v>213.01</v>
      </c>
      <c r="M9">
        <v>2</v>
      </c>
      <c r="N9">
        <v>426.02</v>
      </c>
    </row>
    <row r="10" spans="1:14" x14ac:dyDescent="0.3">
      <c r="A10">
        <v>9</v>
      </c>
      <c r="B10" s="37">
        <v>45573</v>
      </c>
      <c r="C10">
        <v>105</v>
      </c>
      <c r="D10" t="s">
        <v>46</v>
      </c>
      <c r="E10" t="s">
        <v>47</v>
      </c>
      <c r="F10">
        <v>45</v>
      </c>
      <c r="G10" t="s">
        <v>16</v>
      </c>
      <c r="H10" t="s">
        <v>17</v>
      </c>
      <c r="I10">
        <v>4</v>
      </c>
      <c r="J10" t="s">
        <v>48</v>
      </c>
      <c r="K10" t="s">
        <v>29</v>
      </c>
      <c r="L10">
        <v>1156.21</v>
      </c>
      <c r="M10">
        <v>4</v>
      </c>
      <c r="N10">
        <v>4624.84</v>
      </c>
    </row>
    <row r="11" spans="1:14" x14ac:dyDescent="0.3">
      <c r="A11">
        <v>10</v>
      </c>
      <c r="B11" s="37">
        <v>45371</v>
      </c>
      <c r="C11">
        <v>46</v>
      </c>
      <c r="D11" t="s">
        <v>35</v>
      </c>
      <c r="E11" t="s">
        <v>27</v>
      </c>
      <c r="F11">
        <v>39</v>
      </c>
      <c r="G11" t="s">
        <v>49</v>
      </c>
      <c r="H11" t="s">
        <v>87</v>
      </c>
      <c r="I11">
        <v>12</v>
      </c>
      <c r="J11" t="s">
        <v>37</v>
      </c>
      <c r="K11" t="s">
        <v>38</v>
      </c>
      <c r="L11">
        <v>1036.1199999999999</v>
      </c>
      <c r="M11">
        <v>6</v>
      </c>
      <c r="N11">
        <v>6216.72</v>
      </c>
    </row>
    <row r="12" spans="1:14" x14ac:dyDescent="0.3">
      <c r="A12">
        <v>11</v>
      </c>
      <c r="B12" s="37">
        <v>45584</v>
      </c>
      <c r="C12">
        <v>95</v>
      </c>
      <c r="D12" t="s">
        <v>51</v>
      </c>
      <c r="E12" t="s">
        <v>15</v>
      </c>
      <c r="F12">
        <v>19</v>
      </c>
      <c r="G12" t="s">
        <v>52</v>
      </c>
      <c r="H12" t="s">
        <v>53</v>
      </c>
      <c r="I12">
        <v>26</v>
      </c>
      <c r="J12" t="s">
        <v>54</v>
      </c>
      <c r="K12" t="s">
        <v>25</v>
      </c>
      <c r="L12">
        <v>803.73</v>
      </c>
      <c r="M12">
        <v>2</v>
      </c>
      <c r="N12">
        <v>1607.46</v>
      </c>
    </row>
    <row r="13" spans="1:14" x14ac:dyDescent="0.3">
      <c r="A13">
        <v>12</v>
      </c>
      <c r="B13" s="37">
        <v>45570</v>
      </c>
      <c r="C13">
        <v>32</v>
      </c>
      <c r="D13" t="s">
        <v>39</v>
      </c>
      <c r="E13" t="s">
        <v>36</v>
      </c>
      <c r="F13">
        <v>45</v>
      </c>
      <c r="G13" t="s">
        <v>16</v>
      </c>
      <c r="H13" t="s">
        <v>17</v>
      </c>
      <c r="I13">
        <v>26</v>
      </c>
      <c r="J13" t="s">
        <v>54</v>
      </c>
      <c r="K13" t="s">
        <v>25</v>
      </c>
      <c r="L13">
        <v>803.73</v>
      </c>
      <c r="M13">
        <v>3</v>
      </c>
      <c r="N13">
        <v>2411.19</v>
      </c>
    </row>
    <row r="14" spans="1:14" x14ac:dyDescent="0.3">
      <c r="A14">
        <v>13</v>
      </c>
      <c r="B14" s="37">
        <v>45619</v>
      </c>
      <c r="C14">
        <v>54</v>
      </c>
      <c r="D14" t="s">
        <v>30</v>
      </c>
      <c r="E14" t="s">
        <v>44</v>
      </c>
      <c r="F14">
        <v>59</v>
      </c>
      <c r="G14" t="s">
        <v>32</v>
      </c>
      <c r="H14" t="s">
        <v>33</v>
      </c>
      <c r="I14">
        <v>11</v>
      </c>
      <c r="J14" t="s">
        <v>55</v>
      </c>
      <c r="K14" t="s">
        <v>38</v>
      </c>
      <c r="L14">
        <v>234.14</v>
      </c>
      <c r="M14">
        <v>5</v>
      </c>
      <c r="N14">
        <v>1170.7</v>
      </c>
    </row>
    <row r="15" spans="1:14" x14ac:dyDescent="0.3">
      <c r="A15">
        <v>14</v>
      </c>
      <c r="B15" s="37">
        <v>45374</v>
      </c>
      <c r="C15">
        <v>8</v>
      </c>
      <c r="D15" t="s">
        <v>56</v>
      </c>
      <c r="E15" t="s">
        <v>57</v>
      </c>
      <c r="F15">
        <v>31</v>
      </c>
      <c r="G15" t="s">
        <v>16</v>
      </c>
      <c r="H15" t="s">
        <v>17</v>
      </c>
      <c r="I15">
        <v>20</v>
      </c>
      <c r="J15" t="s">
        <v>58</v>
      </c>
      <c r="K15" t="s">
        <v>43</v>
      </c>
      <c r="L15">
        <v>704.86</v>
      </c>
      <c r="M15">
        <v>2</v>
      </c>
      <c r="N15">
        <v>1409.72</v>
      </c>
    </row>
    <row r="16" spans="1:14" x14ac:dyDescent="0.3">
      <c r="A16">
        <v>15</v>
      </c>
      <c r="B16" s="37">
        <v>45446</v>
      </c>
      <c r="C16">
        <v>103</v>
      </c>
      <c r="D16" t="s">
        <v>26</v>
      </c>
      <c r="E16" t="s">
        <v>27</v>
      </c>
      <c r="F16">
        <v>34</v>
      </c>
      <c r="G16" t="s">
        <v>16</v>
      </c>
      <c r="H16" t="s">
        <v>17</v>
      </c>
      <c r="I16">
        <v>27</v>
      </c>
      <c r="J16" t="s">
        <v>24</v>
      </c>
      <c r="K16" t="s">
        <v>25</v>
      </c>
      <c r="L16">
        <v>845</v>
      </c>
      <c r="M16">
        <v>2</v>
      </c>
      <c r="N16">
        <v>1690</v>
      </c>
    </row>
    <row r="17" spans="1:14" x14ac:dyDescent="0.3">
      <c r="A17">
        <v>16</v>
      </c>
      <c r="B17" s="37">
        <v>45684</v>
      </c>
      <c r="C17">
        <v>95</v>
      </c>
      <c r="D17" t="s">
        <v>51</v>
      </c>
      <c r="E17" t="s">
        <v>15</v>
      </c>
      <c r="F17">
        <v>19</v>
      </c>
      <c r="G17" t="s">
        <v>52</v>
      </c>
      <c r="H17" t="s">
        <v>53</v>
      </c>
      <c r="I17">
        <v>23</v>
      </c>
      <c r="J17" t="s">
        <v>18</v>
      </c>
      <c r="K17" t="s">
        <v>19</v>
      </c>
      <c r="L17">
        <v>195.22</v>
      </c>
      <c r="M17">
        <v>6</v>
      </c>
      <c r="N17">
        <v>1171.32</v>
      </c>
    </row>
    <row r="18" spans="1:14" x14ac:dyDescent="0.3">
      <c r="A18">
        <v>17</v>
      </c>
      <c r="B18" s="37">
        <v>45448</v>
      </c>
      <c r="C18">
        <v>56</v>
      </c>
      <c r="D18" t="s">
        <v>88</v>
      </c>
      <c r="E18" t="s">
        <v>31</v>
      </c>
      <c r="F18">
        <v>30</v>
      </c>
      <c r="G18" t="s">
        <v>59</v>
      </c>
      <c r="H18" t="s">
        <v>33</v>
      </c>
      <c r="I18">
        <v>13</v>
      </c>
      <c r="J18" t="s">
        <v>40</v>
      </c>
      <c r="K18" t="s">
        <v>38</v>
      </c>
      <c r="L18">
        <v>1340.6</v>
      </c>
      <c r="M18">
        <v>6</v>
      </c>
      <c r="N18">
        <v>8043.6</v>
      </c>
    </row>
    <row r="19" spans="1:14" x14ac:dyDescent="0.3">
      <c r="A19">
        <v>18</v>
      </c>
      <c r="B19" s="37">
        <v>45511</v>
      </c>
      <c r="C19">
        <v>75</v>
      </c>
      <c r="D19" t="s">
        <v>39</v>
      </c>
      <c r="E19" t="s">
        <v>60</v>
      </c>
      <c r="F19">
        <v>31</v>
      </c>
      <c r="G19" t="s">
        <v>59</v>
      </c>
      <c r="H19" t="s">
        <v>33</v>
      </c>
      <c r="I19">
        <v>25</v>
      </c>
      <c r="J19" t="s">
        <v>61</v>
      </c>
      <c r="K19" t="s">
        <v>19</v>
      </c>
      <c r="L19">
        <v>705</v>
      </c>
      <c r="M19">
        <v>1</v>
      </c>
      <c r="N19">
        <v>705</v>
      </c>
    </row>
    <row r="20" spans="1:14" x14ac:dyDescent="0.3">
      <c r="A20">
        <v>19</v>
      </c>
      <c r="B20" s="37">
        <v>45716</v>
      </c>
      <c r="C20">
        <v>91</v>
      </c>
      <c r="D20" t="s">
        <v>51</v>
      </c>
      <c r="E20" t="s">
        <v>62</v>
      </c>
      <c r="F20">
        <v>40</v>
      </c>
      <c r="G20" t="s">
        <v>16</v>
      </c>
      <c r="H20" t="s">
        <v>17</v>
      </c>
      <c r="I20">
        <v>13</v>
      </c>
      <c r="J20" t="s">
        <v>40</v>
      </c>
      <c r="K20" t="s">
        <v>38</v>
      </c>
      <c r="L20">
        <v>1340.6</v>
      </c>
      <c r="M20">
        <v>4</v>
      </c>
      <c r="N20">
        <v>5362.4</v>
      </c>
    </row>
    <row r="21" spans="1:14" x14ac:dyDescent="0.3">
      <c r="A21">
        <v>20</v>
      </c>
      <c r="B21" s="37">
        <v>45630</v>
      </c>
      <c r="C21">
        <v>55</v>
      </c>
      <c r="D21" t="s">
        <v>63</v>
      </c>
      <c r="E21" t="s">
        <v>41</v>
      </c>
      <c r="F21">
        <v>39</v>
      </c>
      <c r="G21" t="s">
        <v>32</v>
      </c>
      <c r="H21" t="s">
        <v>33</v>
      </c>
      <c r="I21">
        <v>16</v>
      </c>
      <c r="J21" t="s">
        <v>64</v>
      </c>
      <c r="K21" t="s">
        <v>43</v>
      </c>
      <c r="L21">
        <v>1170.95</v>
      </c>
      <c r="M21">
        <v>5</v>
      </c>
      <c r="N21">
        <v>5854.75</v>
      </c>
    </row>
    <row r="22" spans="1:14" x14ac:dyDescent="0.3">
      <c r="A22">
        <v>21</v>
      </c>
      <c r="B22" s="37">
        <v>45769</v>
      </c>
      <c r="C22">
        <v>91</v>
      </c>
      <c r="D22" t="s">
        <v>51</v>
      </c>
      <c r="E22" t="s">
        <v>62</v>
      </c>
      <c r="F22">
        <v>40</v>
      </c>
      <c r="G22" t="s">
        <v>16</v>
      </c>
      <c r="H22" t="s">
        <v>17</v>
      </c>
      <c r="I22">
        <v>16</v>
      </c>
      <c r="J22" t="s">
        <v>64</v>
      </c>
      <c r="K22" t="s">
        <v>43</v>
      </c>
      <c r="L22">
        <v>1170.95</v>
      </c>
      <c r="M22">
        <v>4</v>
      </c>
      <c r="N22">
        <v>4683.8</v>
      </c>
    </row>
    <row r="23" spans="1:14" x14ac:dyDescent="0.3">
      <c r="A23">
        <v>22</v>
      </c>
      <c r="B23" s="37">
        <v>45355</v>
      </c>
      <c r="C23">
        <v>27</v>
      </c>
      <c r="D23" t="s">
        <v>39</v>
      </c>
      <c r="E23" t="s">
        <v>62</v>
      </c>
      <c r="F23">
        <v>25</v>
      </c>
      <c r="G23" t="s">
        <v>52</v>
      </c>
      <c r="H23" t="s">
        <v>53</v>
      </c>
      <c r="I23">
        <v>29</v>
      </c>
      <c r="J23" t="s">
        <v>65</v>
      </c>
      <c r="K23" t="s">
        <v>25</v>
      </c>
      <c r="L23">
        <v>1136.55</v>
      </c>
      <c r="M23">
        <v>2</v>
      </c>
      <c r="N23">
        <v>2273.1</v>
      </c>
    </row>
    <row r="24" spans="1:14" x14ac:dyDescent="0.3">
      <c r="A24">
        <v>23</v>
      </c>
      <c r="B24" s="37">
        <v>45722</v>
      </c>
      <c r="C24">
        <v>79</v>
      </c>
      <c r="D24" t="s">
        <v>51</v>
      </c>
      <c r="E24" t="s">
        <v>44</v>
      </c>
      <c r="F24">
        <v>24</v>
      </c>
      <c r="G24" t="s">
        <v>22</v>
      </c>
      <c r="H24" t="s">
        <v>23</v>
      </c>
      <c r="I24">
        <v>21</v>
      </c>
      <c r="J24" t="s">
        <v>66</v>
      </c>
      <c r="K24" t="s">
        <v>19</v>
      </c>
      <c r="L24">
        <v>842.75</v>
      </c>
      <c r="M24">
        <v>4</v>
      </c>
      <c r="N24">
        <v>3371</v>
      </c>
    </row>
    <row r="25" spans="1:14" x14ac:dyDescent="0.3">
      <c r="A25">
        <v>24</v>
      </c>
      <c r="B25" s="37">
        <v>45890</v>
      </c>
      <c r="C25">
        <v>53</v>
      </c>
      <c r="D25" t="s">
        <v>63</v>
      </c>
      <c r="E25" t="s">
        <v>15</v>
      </c>
      <c r="F25">
        <v>47</v>
      </c>
      <c r="G25" t="s">
        <v>16</v>
      </c>
      <c r="H25" t="s">
        <v>17</v>
      </c>
      <c r="I25">
        <v>15</v>
      </c>
      <c r="J25" t="s">
        <v>67</v>
      </c>
      <c r="K25" t="s">
        <v>38</v>
      </c>
      <c r="L25">
        <v>1329.92</v>
      </c>
      <c r="M25">
        <v>6</v>
      </c>
      <c r="N25">
        <v>7979.52</v>
      </c>
    </row>
    <row r="26" spans="1:14" x14ac:dyDescent="0.3">
      <c r="A26">
        <v>25</v>
      </c>
      <c r="B26" s="37">
        <v>45312</v>
      </c>
      <c r="C26">
        <v>22</v>
      </c>
      <c r="D26" t="s">
        <v>56</v>
      </c>
      <c r="E26" t="s">
        <v>27</v>
      </c>
      <c r="F26">
        <v>31</v>
      </c>
      <c r="G26" t="s">
        <v>32</v>
      </c>
      <c r="H26" t="s">
        <v>33</v>
      </c>
      <c r="I26">
        <v>18</v>
      </c>
      <c r="J26" t="s">
        <v>68</v>
      </c>
      <c r="K26" t="s">
        <v>43</v>
      </c>
      <c r="L26">
        <v>1209.0999999999999</v>
      </c>
      <c r="M26">
        <v>5</v>
      </c>
      <c r="N26">
        <v>6045.5</v>
      </c>
    </row>
    <row r="27" spans="1:14" x14ac:dyDescent="0.3">
      <c r="A27">
        <v>26</v>
      </c>
      <c r="B27" s="37">
        <v>45681</v>
      </c>
      <c r="C27">
        <v>9</v>
      </c>
      <c r="D27" t="s">
        <v>39</v>
      </c>
      <c r="E27" t="s">
        <v>27</v>
      </c>
      <c r="F27">
        <v>42</v>
      </c>
      <c r="G27" t="s">
        <v>16</v>
      </c>
      <c r="H27" t="s">
        <v>17</v>
      </c>
      <c r="I27">
        <v>1</v>
      </c>
      <c r="J27" t="s">
        <v>69</v>
      </c>
      <c r="K27" t="s">
        <v>29</v>
      </c>
      <c r="L27">
        <v>83.63</v>
      </c>
      <c r="M27">
        <v>4</v>
      </c>
      <c r="N27">
        <v>334.52</v>
      </c>
    </row>
    <row r="28" spans="1:14" x14ac:dyDescent="0.3">
      <c r="A28">
        <v>27</v>
      </c>
      <c r="B28" s="37">
        <v>45298</v>
      </c>
      <c r="C28">
        <v>104</v>
      </c>
      <c r="D28" t="s">
        <v>26</v>
      </c>
      <c r="E28" t="s">
        <v>27</v>
      </c>
      <c r="F28">
        <v>56</v>
      </c>
      <c r="G28" t="s">
        <v>22</v>
      </c>
      <c r="H28" t="s">
        <v>23</v>
      </c>
      <c r="I28">
        <v>10</v>
      </c>
      <c r="J28" t="s">
        <v>70</v>
      </c>
      <c r="K28" t="s">
        <v>71</v>
      </c>
      <c r="L28">
        <v>608.48</v>
      </c>
      <c r="M28">
        <v>3</v>
      </c>
      <c r="N28">
        <v>1825.44</v>
      </c>
    </row>
    <row r="29" spans="1:14" x14ac:dyDescent="0.3">
      <c r="A29">
        <v>28</v>
      </c>
      <c r="B29" s="37">
        <v>45597</v>
      </c>
      <c r="C29">
        <v>114</v>
      </c>
      <c r="D29" t="s">
        <v>63</v>
      </c>
      <c r="E29" t="s">
        <v>60</v>
      </c>
      <c r="F29" t="s">
        <v>89</v>
      </c>
      <c r="G29" t="s">
        <v>22</v>
      </c>
      <c r="H29" t="s">
        <v>23</v>
      </c>
      <c r="I29">
        <v>27</v>
      </c>
      <c r="J29" t="s">
        <v>24</v>
      </c>
      <c r="K29" t="s">
        <v>25</v>
      </c>
      <c r="L29">
        <v>845</v>
      </c>
      <c r="M29">
        <v>4</v>
      </c>
      <c r="N29">
        <v>3380</v>
      </c>
    </row>
    <row r="30" spans="1:14" x14ac:dyDescent="0.3">
      <c r="A30">
        <v>29</v>
      </c>
      <c r="B30" s="37">
        <v>45721</v>
      </c>
      <c r="C30">
        <v>42</v>
      </c>
      <c r="D30" t="s">
        <v>90</v>
      </c>
      <c r="E30" t="s">
        <v>21</v>
      </c>
      <c r="F30">
        <v>45</v>
      </c>
      <c r="G30" t="s">
        <v>22</v>
      </c>
      <c r="H30" t="s">
        <v>23</v>
      </c>
      <c r="I30">
        <v>23</v>
      </c>
      <c r="J30" t="s">
        <v>18</v>
      </c>
      <c r="K30" t="s">
        <v>19</v>
      </c>
      <c r="L30">
        <v>195.22</v>
      </c>
      <c r="M30">
        <v>5</v>
      </c>
      <c r="N30">
        <v>976.1</v>
      </c>
    </row>
    <row r="31" spans="1:14" x14ac:dyDescent="0.3">
      <c r="A31">
        <v>30</v>
      </c>
      <c r="B31" s="37">
        <v>45851</v>
      </c>
      <c r="C31">
        <v>2</v>
      </c>
      <c r="D31" t="s">
        <v>72</v>
      </c>
      <c r="E31" t="s">
        <v>41</v>
      </c>
      <c r="F31">
        <v>24</v>
      </c>
      <c r="G31" t="s">
        <v>49</v>
      </c>
      <c r="H31" t="s">
        <v>50</v>
      </c>
      <c r="I31">
        <v>30</v>
      </c>
      <c r="J31" t="s">
        <v>73</v>
      </c>
      <c r="K31" t="s">
        <v>25</v>
      </c>
      <c r="L31">
        <v>672.22</v>
      </c>
      <c r="M31">
        <v>5</v>
      </c>
      <c r="N31">
        <v>3361.1</v>
      </c>
    </row>
    <row r="32" spans="1:14" x14ac:dyDescent="0.3">
      <c r="A32">
        <v>31</v>
      </c>
      <c r="B32" s="37">
        <v>45517</v>
      </c>
      <c r="C32">
        <v>60</v>
      </c>
      <c r="D32" t="s">
        <v>39</v>
      </c>
      <c r="E32" t="s">
        <v>31</v>
      </c>
      <c r="F32">
        <v>28</v>
      </c>
      <c r="G32" t="s">
        <v>32</v>
      </c>
      <c r="H32" t="s">
        <v>91</v>
      </c>
      <c r="I32">
        <v>4</v>
      </c>
      <c r="J32" t="s">
        <v>48</v>
      </c>
      <c r="K32" t="s">
        <v>29</v>
      </c>
      <c r="L32">
        <v>1156.21</v>
      </c>
      <c r="M32">
        <v>4</v>
      </c>
      <c r="N32">
        <v>4624.84</v>
      </c>
    </row>
    <row r="33" spans="1:14" x14ac:dyDescent="0.3">
      <c r="A33">
        <v>32</v>
      </c>
      <c r="B33" s="37">
        <v>45516</v>
      </c>
      <c r="C33">
        <v>29</v>
      </c>
      <c r="D33" t="s">
        <v>63</v>
      </c>
      <c r="E33" t="s">
        <v>15</v>
      </c>
      <c r="F33">
        <v>56</v>
      </c>
      <c r="G33" t="s">
        <v>59</v>
      </c>
      <c r="H33" t="s">
        <v>33</v>
      </c>
      <c r="I33">
        <v>1</v>
      </c>
      <c r="J33" t="s">
        <v>69</v>
      </c>
      <c r="K33" t="s">
        <v>29</v>
      </c>
      <c r="L33">
        <v>83.63</v>
      </c>
      <c r="M33">
        <v>3</v>
      </c>
      <c r="N33">
        <v>250.89</v>
      </c>
    </row>
    <row r="34" spans="1:14" x14ac:dyDescent="0.3">
      <c r="A34">
        <v>33</v>
      </c>
      <c r="B34" s="37">
        <v>45738</v>
      </c>
      <c r="C34">
        <v>114</v>
      </c>
      <c r="D34" t="s">
        <v>63</v>
      </c>
      <c r="E34" t="s">
        <v>60</v>
      </c>
      <c r="F34">
        <v>18</v>
      </c>
      <c r="G34" t="s">
        <v>22</v>
      </c>
      <c r="H34" t="s">
        <v>23</v>
      </c>
      <c r="I34">
        <v>18</v>
      </c>
      <c r="J34" t="s">
        <v>68</v>
      </c>
      <c r="K34" t="s">
        <v>43</v>
      </c>
      <c r="L34">
        <v>1209.0999999999999</v>
      </c>
      <c r="M34">
        <v>4</v>
      </c>
      <c r="N34">
        <v>4836.3999999999996</v>
      </c>
    </row>
    <row r="35" spans="1:14" x14ac:dyDescent="0.3">
      <c r="A35">
        <v>34</v>
      </c>
      <c r="B35" s="37">
        <v>45321</v>
      </c>
      <c r="C35">
        <v>4</v>
      </c>
      <c r="D35" t="s">
        <v>35</v>
      </c>
      <c r="E35" t="s">
        <v>31</v>
      </c>
      <c r="F35">
        <v>50</v>
      </c>
      <c r="G35" t="s">
        <v>59</v>
      </c>
      <c r="H35" t="s">
        <v>33</v>
      </c>
      <c r="I35">
        <v>17</v>
      </c>
      <c r="J35" t="s">
        <v>42</v>
      </c>
      <c r="K35" t="s">
        <v>43</v>
      </c>
      <c r="L35">
        <v>339.98</v>
      </c>
      <c r="M35">
        <v>4</v>
      </c>
      <c r="N35">
        <v>1359.92</v>
      </c>
    </row>
    <row r="36" spans="1:14" x14ac:dyDescent="0.3">
      <c r="A36">
        <v>35</v>
      </c>
      <c r="B36" s="37">
        <v>45636</v>
      </c>
      <c r="C36">
        <v>11</v>
      </c>
      <c r="D36" t="s">
        <v>46</v>
      </c>
      <c r="E36" t="s">
        <v>74</v>
      </c>
      <c r="F36">
        <v>52</v>
      </c>
      <c r="G36" t="s">
        <v>32</v>
      </c>
      <c r="H36" t="s">
        <v>33</v>
      </c>
      <c r="I36">
        <v>10</v>
      </c>
      <c r="J36" t="s">
        <v>70</v>
      </c>
      <c r="K36" t="s">
        <v>71</v>
      </c>
      <c r="L36">
        <v>608.48</v>
      </c>
      <c r="M36">
        <v>6</v>
      </c>
      <c r="N36">
        <v>3650.88</v>
      </c>
    </row>
    <row r="37" spans="1:14" x14ac:dyDescent="0.3">
      <c r="A37">
        <v>36</v>
      </c>
      <c r="B37" s="37">
        <v>45987</v>
      </c>
      <c r="C37">
        <v>67</v>
      </c>
      <c r="D37" t="s">
        <v>26</v>
      </c>
      <c r="E37" t="s">
        <v>60</v>
      </c>
      <c r="F37">
        <v>23</v>
      </c>
      <c r="G37" t="s">
        <v>52</v>
      </c>
      <c r="H37" t="s">
        <v>53</v>
      </c>
      <c r="I37">
        <v>29</v>
      </c>
      <c r="J37" t="s">
        <v>65</v>
      </c>
      <c r="K37" t="s">
        <v>25</v>
      </c>
      <c r="L37">
        <v>1136.55</v>
      </c>
      <c r="M37">
        <v>4</v>
      </c>
      <c r="N37">
        <v>4546.2</v>
      </c>
    </row>
    <row r="38" spans="1:14" x14ac:dyDescent="0.3">
      <c r="A38">
        <v>37</v>
      </c>
      <c r="B38" s="37">
        <v>45461</v>
      </c>
      <c r="C38">
        <v>45</v>
      </c>
      <c r="D38" t="s">
        <v>75</v>
      </c>
      <c r="E38" t="s">
        <v>60</v>
      </c>
      <c r="F38">
        <v>46</v>
      </c>
      <c r="G38" t="s">
        <v>16</v>
      </c>
      <c r="H38" t="s">
        <v>17</v>
      </c>
      <c r="I38">
        <v>30</v>
      </c>
      <c r="J38" t="s">
        <v>73</v>
      </c>
      <c r="K38" t="s">
        <v>25</v>
      </c>
      <c r="L38">
        <v>672.22</v>
      </c>
      <c r="M38">
        <v>4</v>
      </c>
      <c r="N38">
        <v>2688.88</v>
      </c>
    </row>
    <row r="39" spans="1:14" x14ac:dyDescent="0.3">
      <c r="A39">
        <v>38</v>
      </c>
      <c r="B39" s="37">
        <v>45422</v>
      </c>
      <c r="C39">
        <v>91</v>
      </c>
      <c r="D39" t="s">
        <v>51</v>
      </c>
      <c r="E39" t="s">
        <v>62</v>
      </c>
      <c r="F39">
        <v>40</v>
      </c>
      <c r="G39" t="s">
        <v>16</v>
      </c>
      <c r="H39" t="s">
        <v>17</v>
      </c>
      <c r="I39">
        <v>4</v>
      </c>
      <c r="J39" t="s">
        <v>48</v>
      </c>
      <c r="K39" t="s">
        <v>29</v>
      </c>
      <c r="L39">
        <v>1156.21</v>
      </c>
      <c r="M39">
        <v>5</v>
      </c>
      <c r="N39">
        <v>5781.05</v>
      </c>
    </row>
    <row r="40" spans="1:14" x14ac:dyDescent="0.3">
      <c r="A40">
        <v>39</v>
      </c>
      <c r="B40" s="37">
        <v>45838</v>
      </c>
      <c r="C40">
        <v>102</v>
      </c>
      <c r="D40" t="s">
        <v>36</v>
      </c>
      <c r="E40" t="s">
        <v>44</v>
      </c>
      <c r="F40">
        <v>50</v>
      </c>
      <c r="G40" t="s">
        <v>22</v>
      </c>
      <c r="H40" t="s">
        <v>23</v>
      </c>
      <c r="I40">
        <v>30</v>
      </c>
      <c r="J40" t="s">
        <v>73</v>
      </c>
      <c r="K40" t="s">
        <v>25</v>
      </c>
      <c r="L40">
        <v>672.22</v>
      </c>
      <c r="M40">
        <v>1</v>
      </c>
      <c r="N40">
        <v>672.22</v>
      </c>
    </row>
    <row r="41" spans="1:14" x14ac:dyDescent="0.3">
      <c r="A41">
        <v>40</v>
      </c>
      <c r="B41" s="37">
        <v>45695</v>
      </c>
      <c r="C41">
        <v>82</v>
      </c>
      <c r="D41" t="s">
        <v>35</v>
      </c>
      <c r="E41" t="s">
        <v>44</v>
      </c>
      <c r="F41">
        <v>58</v>
      </c>
      <c r="G41" t="s">
        <v>16</v>
      </c>
      <c r="H41" t="s">
        <v>17</v>
      </c>
      <c r="I41">
        <v>30</v>
      </c>
      <c r="J41" t="s">
        <v>73</v>
      </c>
      <c r="K41" t="s">
        <v>25</v>
      </c>
      <c r="L41">
        <v>672.22</v>
      </c>
      <c r="M41">
        <v>5</v>
      </c>
      <c r="N41">
        <v>3361.1</v>
      </c>
    </row>
    <row r="42" spans="1:14" x14ac:dyDescent="0.3">
      <c r="A42">
        <v>41</v>
      </c>
      <c r="B42" s="37">
        <v>45869</v>
      </c>
      <c r="C42">
        <v>48</v>
      </c>
      <c r="D42" t="s">
        <v>35</v>
      </c>
      <c r="E42" t="s">
        <v>27</v>
      </c>
      <c r="F42">
        <v>20</v>
      </c>
      <c r="G42" t="s">
        <v>32</v>
      </c>
      <c r="H42" t="s">
        <v>33</v>
      </c>
      <c r="I42">
        <v>9</v>
      </c>
      <c r="J42" t="s">
        <v>76</v>
      </c>
      <c r="K42" t="s">
        <v>71</v>
      </c>
      <c r="L42">
        <v>585.21</v>
      </c>
      <c r="M42">
        <v>6</v>
      </c>
      <c r="N42">
        <v>3511.26</v>
      </c>
    </row>
    <row r="43" spans="1:14" x14ac:dyDescent="0.3">
      <c r="A43">
        <v>42</v>
      </c>
      <c r="B43" s="37">
        <v>45319</v>
      </c>
      <c r="C43">
        <v>45</v>
      </c>
      <c r="D43" t="s">
        <v>75</v>
      </c>
      <c r="E43" t="s">
        <v>60</v>
      </c>
      <c r="F43">
        <v>46</v>
      </c>
      <c r="G43" t="s">
        <v>16</v>
      </c>
      <c r="H43" t="s">
        <v>17</v>
      </c>
      <c r="I43">
        <v>28</v>
      </c>
      <c r="J43" t="s">
        <v>77</v>
      </c>
      <c r="K43" t="s">
        <v>25</v>
      </c>
      <c r="L43">
        <v>486.19</v>
      </c>
      <c r="M43">
        <v>1</v>
      </c>
      <c r="N43">
        <v>486.19</v>
      </c>
    </row>
    <row r="44" spans="1:14" x14ac:dyDescent="0.3">
      <c r="A44">
        <v>43</v>
      </c>
      <c r="B44" s="37">
        <v>45950</v>
      </c>
      <c r="C44">
        <v>40</v>
      </c>
      <c r="D44" t="s">
        <v>14</v>
      </c>
      <c r="E44" t="s">
        <v>60</v>
      </c>
      <c r="F44">
        <v>67</v>
      </c>
      <c r="G44" t="s">
        <v>59</v>
      </c>
      <c r="H44" t="s">
        <v>33</v>
      </c>
      <c r="I44">
        <v>24</v>
      </c>
      <c r="J44" t="s">
        <v>45</v>
      </c>
      <c r="K44" t="s">
        <v>19</v>
      </c>
      <c r="L44">
        <v>213.01</v>
      </c>
      <c r="M44">
        <v>4</v>
      </c>
      <c r="N44">
        <v>852.04</v>
      </c>
    </row>
    <row r="45" spans="1:14" x14ac:dyDescent="0.3">
      <c r="A45">
        <v>44</v>
      </c>
      <c r="B45" s="37">
        <v>45430</v>
      </c>
      <c r="C45">
        <v>27</v>
      </c>
      <c r="D45" t="s">
        <v>39</v>
      </c>
      <c r="E45" t="s">
        <v>62</v>
      </c>
      <c r="F45">
        <v>25</v>
      </c>
      <c r="G45" t="s">
        <v>52</v>
      </c>
      <c r="H45" t="s">
        <v>53</v>
      </c>
      <c r="I45">
        <v>25</v>
      </c>
      <c r="J45" t="s">
        <v>61</v>
      </c>
      <c r="K45" t="s">
        <v>19</v>
      </c>
      <c r="L45">
        <v>705</v>
      </c>
      <c r="M45">
        <v>4</v>
      </c>
      <c r="N45">
        <v>2820</v>
      </c>
    </row>
    <row r="46" spans="1:14" x14ac:dyDescent="0.3">
      <c r="A46">
        <v>45</v>
      </c>
      <c r="B46" s="37">
        <v>45478</v>
      </c>
      <c r="C46">
        <v>89</v>
      </c>
      <c r="D46" t="s">
        <v>20</v>
      </c>
      <c r="E46" t="s">
        <v>62</v>
      </c>
      <c r="F46">
        <v>41</v>
      </c>
      <c r="G46" t="s">
        <v>52</v>
      </c>
      <c r="H46" t="s">
        <v>53</v>
      </c>
      <c r="I46">
        <v>21</v>
      </c>
      <c r="J46" t="s">
        <v>66</v>
      </c>
      <c r="K46" t="s">
        <v>19</v>
      </c>
      <c r="L46">
        <v>842.75</v>
      </c>
      <c r="M46">
        <v>1</v>
      </c>
      <c r="N46">
        <v>842.75</v>
      </c>
    </row>
    <row r="47" spans="1:14" x14ac:dyDescent="0.3">
      <c r="A47">
        <v>46</v>
      </c>
      <c r="B47" s="37">
        <v>45558</v>
      </c>
      <c r="C47">
        <v>113</v>
      </c>
      <c r="D47" t="s">
        <v>30</v>
      </c>
      <c r="E47" t="s">
        <v>41</v>
      </c>
      <c r="F47">
        <v>29</v>
      </c>
      <c r="G47" t="s">
        <v>32</v>
      </c>
      <c r="H47" t="s">
        <v>33</v>
      </c>
      <c r="I47">
        <v>27</v>
      </c>
      <c r="J47" t="s">
        <v>24</v>
      </c>
      <c r="K47" t="s">
        <v>25</v>
      </c>
      <c r="L47">
        <v>845</v>
      </c>
      <c r="M47">
        <v>4</v>
      </c>
      <c r="N47">
        <v>3380</v>
      </c>
    </row>
    <row r="48" spans="1:14" x14ac:dyDescent="0.3">
      <c r="A48">
        <v>47</v>
      </c>
      <c r="B48" s="37">
        <v>45627</v>
      </c>
      <c r="C48">
        <v>100</v>
      </c>
      <c r="D48" t="s">
        <v>35</v>
      </c>
      <c r="E48" t="s">
        <v>62</v>
      </c>
      <c r="F48">
        <v>60</v>
      </c>
      <c r="G48" t="s">
        <v>49</v>
      </c>
      <c r="H48" t="s">
        <v>50</v>
      </c>
      <c r="I48">
        <v>9</v>
      </c>
      <c r="J48" t="s">
        <v>76</v>
      </c>
      <c r="K48" t="s">
        <v>71</v>
      </c>
      <c r="L48">
        <v>585.21</v>
      </c>
      <c r="M48">
        <v>2</v>
      </c>
      <c r="N48">
        <v>1170.42</v>
      </c>
    </row>
    <row r="49" spans="1:14" x14ac:dyDescent="0.3">
      <c r="A49">
        <v>48</v>
      </c>
      <c r="B49" s="37">
        <v>45757</v>
      </c>
      <c r="C49">
        <v>25</v>
      </c>
      <c r="D49" t="s">
        <v>46</v>
      </c>
      <c r="E49" t="s">
        <v>21</v>
      </c>
      <c r="F49">
        <v>45</v>
      </c>
      <c r="G49" t="s">
        <v>22</v>
      </c>
      <c r="H49" t="s">
        <v>23</v>
      </c>
      <c r="I49">
        <v>11</v>
      </c>
      <c r="J49" t="s">
        <v>55</v>
      </c>
      <c r="K49" t="s">
        <v>38</v>
      </c>
      <c r="L49">
        <v>234.14</v>
      </c>
      <c r="M49">
        <v>3</v>
      </c>
      <c r="N49">
        <v>702.42</v>
      </c>
    </row>
    <row r="50" spans="1:14" x14ac:dyDescent="0.3">
      <c r="A50">
        <v>49</v>
      </c>
      <c r="B50" s="37">
        <v>45637</v>
      </c>
      <c r="C50">
        <v>25</v>
      </c>
      <c r="D50" t="s">
        <v>46</v>
      </c>
      <c r="E50" t="s">
        <v>21</v>
      </c>
      <c r="F50">
        <v>45</v>
      </c>
      <c r="G50" t="s">
        <v>22</v>
      </c>
      <c r="H50" t="s">
        <v>23</v>
      </c>
      <c r="I50">
        <v>2</v>
      </c>
      <c r="J50" t="s">
        <v>34</v>
      </c>
      <c r="K50" t="s">
        <v>29</v>
      </c>
      <c r="L50">
        <v>1476.14</v>
      </c>
      <c r="M50">
        <v>4</v>
      </c>
      <c r="N50">
        <v>5904.56</v>
      </c>
    </row>
    <row r="51" spans="1:14" x14ac:dyDescent="0.3">
      <c r="A51">
        <v>50</v>
      </c>
      <c r="B51" s="37">
        <v>45576</v>
      </c>
      <c r="C51">
        <v>45</v>
      </c>
      <c r="D51" t="s">
        <v>75</v>
      </c>
      <c r="E51" t="s">
        <v>60</v>
      </c>
      <c r="F51">
        <v>46</v>
      </c>
      <c r="G51" t="s">
        <v>16</v>
      </c>
      <c r="H51" t="s">
        <v>17</v>
      </c>
      <c r="I51">
        <v>11</v>
      </c>
      <c r="J51" t="s">
        <v>55</v>
      </c>
      <c r="K51" t="s">
        <v>38</v>
      </c>
      <c r="L51">
        <v>234.14</v>
      </c>
      <c r="M51">
        <v>4</v>
      </c>
      <c r="N51">
        <v>936.56</v>
      </c>
    </row>
    <row r="52" spans="1:14" x14ac:dyDescent="0.3">
      <c r="A52">
        <v>51</v>
      </c>
      <c r="B52" s="37">
        <v>45550</v>
      </c>
      <c r="C52">
        <v>71</v>
      </c>
      <c r="D52" t="s">
        <v>51</v>
      </c>
      <c r="E52" t="s">
        <v>36</v>
      </c>
      <c r="F52">
        <v>31</v>
      </c>
      <c r="G52" t="s">
        <v>16</v>
      </c>
      <c r="H52" t="s">
        <v>17</v>
      </c>
      <c r="I52">
        <v>8</v>
      </c>
      <c r="J52" t="s">
        <v>78</v>
      </c>
      <c r="K52" t="s">
        <v>71</v>
      </c>
      <c r="L52">
        <v>1081.74</v>
      </c>
      <c r="M52">
        <v>1</v>
      </c>
      <c r="N52">
        <v>1081.74</v>
      </c>
    </row>
    <row r="53" spans="1:14" x14ac:dyDescent="0.3">
      <c r="A53">
        <v>52</v>
      </c>
      <c r="B53" s="37">
        <v>45773</v>
      </c>
      <c r="C53">
        <v>108</v>
      </c>
      <c r="D53" t="s">
        <v>36</v>
      </c>
      <c r="E53" t="s">
        <v>15</v>
      </c>
      <c r="F53">
        <v>22</v>
      </c>
      <c r="G53" t="s">
        <v>49</v>
      </c>
      <c r="H53" t="s">
        <v>50</v>
      </c>
      <c r="I53">
        <v>12</v>
      </c>
      <c r="J53" t="s">
        <v>37</v>
      </c>
      <c r="K53" t="s">
        <v>38</v>
      </c>
      <c r="L53">
        <v>1036.1199999999999</v>
      </c>
      <c r="M53">
        <v>1</v>
      </c>
      <c r="N53">
        <v>1036.1199999999999</v>
      </c>
    </row>
    <row r="54" spans="1:14" x14ac:dyDescent="0.3">
      <c r="A54">
        <v>53</v>
      </c>
      <c r="B54" s="37">
        <v>45844</v>
      </c>
      <c r="C54">
        <v>1</v>
      </c>
      <c r="D54" t="s">
        <v>26</v>
      </c>
      <c r="E54" t="s">
        <v>41</v>
      </c>
      <c r="F54">
        <v>35</v>
      </c>
      <c r="G54" t="s">
        <v>59</v>
      </c>
      <c r="H54" t="s">
        <v>33</v>
      </c>
      <c r="I54">
        <v>24</v>
      </c>
      <c r="J54" t="s">
        <v>45</v>
      </c>
      <c r="K54" t="s">
        <v>19</v>
      </c>
      <c r="L54">
        <v>213.01</v>
      </c>
      <c r="M54">
        <v>1</v>
      </c>
      <c r="N54">
        <v>213.01</v>
      </c>
    </row>
    <row r="55" spans="1:14" x14ac:dyDescent="0.3">
      <c r="A55">
        <v>54</v>
      </c>
      <c r="B55" s="37">
        <v>45650</v>
      </c>
      <c r="C55">
        <v>92</v>
      </c>
      <c r="D55" t="s">
        <v>30</v>
      </c>
      <c r="E55" t="s">
        <v>27</v>
      </c>
      <c r="F55">
        <v>40</v>
      </c>
      <c r="G55" t="s">
        <v>49</v>
      </c>
      <c r="H55" t="s">
        <v>50</v>
      </c>
      <c r="I55">
        <v>9</v>
      </c>
      <c r="J55" t="s">
        <v>76</v>
      </c>
      <c r="K55" t="s">
        <v>71</v>
      </c>
      <c r="L55">
        <v>585.21</v>
      </c>
      <c r="M55">
        <v>2</v>
      </c>
      <c r="N55">
        <v>1170.42</v>
      </c>
    </row>
    <row r="56" spans="1:14" x14ac:dyDescent="0.3">
      <c r="A56">
        <v>55</v>
      </c>
      <c r="B56" s="37">
        <v>45957</v>
      </c>
      <c r="C56">
        <v>68</v>
      </c>
      <c r="D56" t="s">
        <v>39</v>
      </c>
      <c r="E56" t="s">
        <v>21</v>
      </c>
      <c r="F56">
        <v>22</v>
      </c>
      <c r="G56" t="s">
        <v>52</v>
      </c>
      <c r="H56" t="s">
        <v>53</v>
      </c>
      <c r="I56">
        <v>1</v>
      </c>
      <c r="J56" t="s">
        <v>69</v>
      </c>
      <c r="K56" t="s">
        <v>29</v>
      </c>
      <c r="L56">
        <v>83.63</v>
      </c>
      <c r="M56">
        <v>1</v>
      </c>
      <c r="N56">
        <v>83.63</v>
      </c>
    </row>
    <row r="57" spans="1:14" x14ac:dyDescent="0.3">
      <c r="A57">
        <v>56</v>
      </c>
      <c r="B57" s="37">
        <v>45959</v>
      </c>
      <c r="C57">
        <v>7</v>
      </c>
      <c r="D57" t="s">
        <v>14</v>
      </c>
      <c r="E57" t="s">
        <v>57</v>
      </c>
      <c r="F57">
        <v>62</v>
      </c>
      <c r="G57" t="s">
        <v>32</v>
      </c>
      <c r="H57" t="s">
        <v>33</v>
      </c>
      <c r="I57">
        <v>10</v>
      </c>
      <c r="J57" t="s">
        <v>70</v>
      </c>
      <c r="K57" t="s">
        <v>71</v>
      </c>
      <c r="L57">
        <v>608.48</v>
      </c>
      <c r="M57">
        <v>1</v>
      </c>
      <c r="N57">
        <v>608.48</v>
      </c>
    </row>
    <row r="58" spans="1:14" x14ac:dyDescent="0.3">
      <c r="A58">
        <v>57</v>
      </c>
      <c r="B58" s="37">
        <v>45323</v>
      </c>
      <c r="C58">
        <v>36</v>
      </c>
      <c r="D58" t="s">
        <v>79</v>
      </c>
      <c r="E58" t="s">
        <v>47</v>
      </c>
      <c r="F58">
        <v>49</v>
      </c>
      <c r="G58" t="s">
        <v>32</v>
      </c>
      <c r="H58" t="s">
        <v>33</v>
      </c>
      <c r="I58">
        <v>2</v>
      </c>
      <c r="J58" t="s">
        <v>34</v>
      </c>
      <c r="K58" t="s">
        <v>29</v>
      </c>
      <c r="L58">
        <v>1476.14</v>
      </c>
      <c r="M58">
        <v>2</v>
      </c>
      <c r="N58">
        <v>2952.28</v>
      </c>
    </row>
    <row r="59" spans="1:14" x14ac:dyDescent="0.3">
      <c r="A59">
        <v>58</v>
      </c>
      <c r="B59" s="37">
        <v>45496</v>
      </c>
      <c r="C59">
        <v>75</v>
      </c>
      <c r="D59" t="s">
        <v>39</v>
      </c>
      <c r="E59" t="s">
        <v>60</v>
      </c>
      <c r="F59">
        <v>31</v>
      </c>
      <c r="G59" t="s">
        <v>59</v>
      </c>
      <c r="H59" t="s">
        <v>33</v>
      </c>
      <c r="I59">
        <v>7</v>
      </c>
      <c r="J59" t="s">
        <v>80</v>
      </c>
      <c r="K59" t="s">
        <v>71</v>
      </c>
      <c r="L59">
        <v>869.87</v>
      </c>
      <c r="M59">
        <v>1</v>
      </c>
      <c r="N59">
        <v>869.87</v>
      </c>
    </row>
    <row r="60" spans="1:14" x14ac:dyDescent="0.3">
      <c r="A60">
        <v>59</v>
      </c>
      <c r="B60" s="37">
        <v>45928</v>
      </c>
      <c r="C60">
        <v>105</v>
      </c>
      <c r="D60" t="s">
        <v>46</v>
      </c>
      <c r="E60" t="s">
        <v>47</v>
      </c>
      <c r="F60">
        <v>45</v>
      </c>
      <c r="G60" t="s">
        <v>16</v>
      </c>
      <c r="H60" t="s">
        <v>17</v>
      </c>
      <c r="I60">
        <v>4</v>
      </c>
      <c r="J60" t="s">
        <v>48</v>
      </c>
      <c r="K60" t="s">
        <v>29</v>
      </c>
      <c r="L60">
        <v>1156.21</v>
      </c>
      <c r="M60">
        <v>2</v>
      </c>
      <c r="N60">
        <v>2312.42</v>
      </c>
    </row>
    <row r="61" spans="1:14" x14ac:dyDescent="0.3">
      <c r="A61">
        <v>60</v>
      </c>
      <c r="B61" s="37">
        <v>45536</v>
      </c>
      <c r="C61">
        <v>22</v>
      </c>
      <c r="D61" t="s">
        <v>56</v>
      </c>
      <c r="E61" t="s">
        <v>27</v>
      </c>
      <c r="F61">
        <v>31</v>
      </c>
      <c r="G61" t="s">
        <v>32</v>
      </c>
      <c r="H61" t="s">
        <v>33</v>
      </c>
      <c r="I61">
        <v>4</v>
      </c>
      <c r="J61" t="s">
        <v>48</v>
      </c>
      <c r="K61" t="s">
        <v>29</v>
      </c>
      <c r="L61">
        <v>1156.21</v>
      </c>
      <c r="M61">
        <v>2</v>
      </c>
      <c r="N61">
        <v>2312.42</v>
      </c>
    </row>
    <row r="62" spans="1:14" x14ac:dyDescent="0.3">
      <c r="A62">
        <v>61</v>
      </c>
      <c r="B62" s="37">
        <v>45776</v>
      </c>
      <c r="C62">
        <v>117</v>
      </c>
      <c r="D62" t="s">
        <v>20</v>
      </c>
      <c r="E62" t="s">
        <v>74</v>
      </c>
      <c r="F62">
        <v>68</v>
      </c>
      <c r="G62" t="s">
        <v>49</v>
      </c>
      <c r="H62" t="s">
        <v>50</v>
      </c>
      <c r="I62">
        <v>14</v>
      </c>
      <c r="J62" t="s">
        <v>81</v>
      </c>
      <c r="K62" t="s">
        <v>38</v>
      </c>
      <c r="L62">
        <v>1292.75</v>
      </c>
      <c r="M62">
        <v>6</v>
      </c>
      <c r="N62">
        <v>7756.5</v>
      </c>
    </row>
    <row r="63" spans="1:14" x14ac:dyDescent="0.3">
      <c r="A63">
        <v>62</v>
      </c>
      <c r="B63" s="37">
        <v>45409</v>
      </c>
      <c r="C63">
        <v>61</v>
      </c>
      <c r="D63" t="s">
        <v>75</v>
      </c>
      <c r="E63" t="s">
        <v>31</v>
      </c>
      <c r="F63">
        <v>43</v>
      </c>
      <c r="G63" t="s">
        <v>52</v>
      </c>
      <c r="H63" t="s">
        <v>53</v>
      </c>
      <c r="I63">
        <v>24</v>
      </c>
      <c r="J63" t="s">
        <v>45</v>
      </c>
      <c r="K63" t="s">
        <v>19</v>
      </c>
      <c r="L63">
        <v>213.01</v>
      </c>
      <c r="M63">
        <v>5</v>
      </c>
      <c r="N63">
        <v>1065.05</v>
      </c>
    </row>
    <row r="64" spans="1:14" x14ac:dyDescent="0.3">
      <c r="A64">
        <v>63</v>
      </c>
      <c r="B64" s="37">
        <v>45515</v>
      </c>
      <c r="C64">
        <v>68</v>
      </c>
      <c r="D64" t="s">
        <v>39</v>
      </c>
      <c r="E64" t="s">
        <v>21</v>
      </c>
      <c r="F64">
        <v>22</v>
      </c>
      <c r="G64" t="s">
        <v>52</v>
      </c>
      <c r="H64" t="s">
        <v>53</v>
      </c>
      <c r="I64">
        <v>17</v>
      </c>
      <c r="J64" t="s">
        <v>42</v>
      </c>
      <c r="K64" t="s">
        <v>43</v>
      </c>
      <c r="L64">
        <v>339.98</v>
      </c>
      <c r="M64">
        <v>4</v>
      </c>
      <c r="N64">
        <v>1359.92</v>
      </c>
    </row>
    <row r="65" spans="1:14" x14ac:dyDescent="0.3">
      <c r="A65">
        <v>64</v>
      </c>
      <c r="B65" s="37">
        <v>46008</v>
      </c>
      <c r="C65">
        <v>54</v>
      </c>
      <c r="D65" t="s">
        <v>30</v>
      </c>
      <c r="E65" t="s">
        <v>44</v>
      </c>
      <c r="F65">
        <v>59</v>
      </c>
      <c r="G65" t="s">
        <v>32</v>
      </c>
      <c r="H65" t="s">
        <v>33</v>
      </c>
      <c r="I65">
        <v>17</v>
      </c>
      <c r="J65" t="s">
        <v>42</v>
      </c>
      <c r="K65" t="s">
        <v>43</v>
      </c>
      <c r="L65">
        <v>339.98</v>
      </c>
      <c r="M65">
        <v>3</v>
      </c>
      <c r="N65">
        <v>1019.94</v>
      </c>
    </row>
    <row r="66" spans="1:14" x14ac:dyDescent="0.3">
      <c r="A66">
        <v>65</v>
      </c>
      <c r="B66" s="37">
        <v>45669</v>
      </c>
      <c r="C66">
        <v>81</v>
      </c>
      <c r="D66" t="s">
        <v>56</v>
      </c>
      <c r="E66" t="s">
        <v>36</v>
      </c>
      <c r="F66">
        <v>56</v>
      </c>
      <c r="G66" t="s">
        <v>52</v>
      </c>
      <c r="H66" t="s">
        <v>53</v>
      </c>
      <c r="I66">
        <v>5</v>
      </c>
      <c r="J66" t="s">
        <v>82</v>
      </c>
      <c r="K66" t="s">
        <v>29</v>
      </c>
      <c r="L66">
        <v>691.29</v>
      </c>
      <c r="M66">
        <v>2</v>
      </c>
      <c r="N66">
        <v>1382.58</v>
      </c>
    </row>
    <row r="67" spans="1:14" x14ac:dyDescent="0.3">
      <c r="A67">
        <v>66</v>
      </c>
      <c r="B67" s="37">
        <v>45912</v>
      </c>
      <c r="C67">
        <v>44</v>
      </c>
      <c r="D67" t="s">
        <v>46</v>
      </c>
      <c r="E67" t="s">
        <v>36</v>
      </c>
      <c r="F67">
        <v>43</v>
      </c>
      <c r="G67" t="s">
        <v>49</v>
      </c>
      <c r="H67" t="s">
        <v>50</v>
      </c>
      <c r="I67">
        <v>5</v>
      </c>
      <c r="J67" t="s">
        <v>82</v>
      </c>
      <c r="K67" t="s">
        <v>29</v>
      </c>
      <c r="L67">
        <v>691.29</v>
      </c>
      <c r="M67">
        <v>5</v>
      </c>
      <c r="N67">
        <v>3456.45</v>
      </c>
    </row>
    <row r="68" spans="1:14" x14ac:dyDescent="0.3">
      <c r="A68">
        <v>67</v>
      </c>
      <c r="B68" s="37">
        <v>45409</v>
      </c>
      <c r="C68">
        <v>118</v>
      </c>
      <c r="D68" t="s">
        <v>30</v>
      </c>
      <c r="E68" t="s">
        <v>27</v>
      </c>
      <c r="F68">
        <v>36</v>
      </c>
      <c r="G68" t="s">
        <v>52</v>
      </c>
      <c r="H68" t="s">
        <v>53</v>
      </c>
      <c r="I68">
        <v>9</v>
      </c>
      <c r="J68" t="s">
        <v>76</v>
      </c>
      <c r="K68" t="s">
        <v>92</v>
      </c>
      <c r="L68">
        <v>585.21</v>
      </c>
      <c r="M68">
        <v>2</v>
      </c>
      <c r="N68">
        <v>1170.42</v>
      </c>
    </row>
    <row r="69" spans="1:14" x14ac:dyDescent="0.3">
      <c r="A69">
        <v>68</v>
      </c>
      <c r="B69" s="37">
        <v>45610</v>
      </c>
      <c r="C69">
        <v>32</v>
      </c>
      <c r="D69" t="s">
        <v>39</v>
      </c>
      <c r="E69" t="s">
        <v>36</v>
      </c>
      <c r="F69">
        <v>45</v>
      </c>
      <c r="G69" t="s">
        <v>16</v>
      </c>
      <c r="H69" t="s">
        <v>17</v>
      </c>
      <c r="I69">
        <v>11</v>
      </c>
      <c r="J69" t="s">
        <v>55</v>
      </c>
      <c r="K69" t="s">
        <v>93</v>
      </c>
      <c r="L69">
        <v>234.14</v>
      </c>
      <c r="M69">
        <v>1</v>
      </c>
      <c r="N69">
        <v>234.14</v>
      </c>
    </row>
    <row r="70" spans="1:14" x14ac:dyDescent="0.3">
      <c r="A70">
        <v>69</v>
      </c>
      <c r="B70" s="37">
        <v>45884</v>
      </c>
      <c r="C70">
        <v>9</v>
      </c>
      <c r="D70" t="s">
        <v>39</v>
      </c>
      <c r="E70" t="s">
        <v>27</v>
      </c>
      <c r="F70">
        <v>42</v>
      </c>
      <c r="G70" t="s">
        <v>16</v>
      </c>
      <c r="I70">
        <v>1</v>
      </c>
      <c r="J70" t="s">
        <v>69</v>
      </c>
      <c r="K70" t="s">
        <v>29</v>
      </c>
      <c r="L70">
        <v>83.63</v>
      </c>
      <c r="M70">
        <v>1</v>
      </c>
      <c r="N70">
        <v>83.63</v>
      </c>
    </row>
    <row r="71" spans="1:14" x14ac:dyDescent="0.3">
      <c r="A71">
        <v>70</v>
      </c>
      <c r="B71" s="37">
        <v>45611</v>
      </c>
      <c r="C71">
        <v>62</v>
      </c>
      <c r="D71" t="s">
        <v>72</v>
      </c>
      <c r="E71" t="s">
        <v>15</v>
      </c>
      <c r="F71">
        <v>18</v>
      </c>
      <c r="G71" t="s">
        <v>32</v>
      </c>
      <c r="H71" t="s">
        <v>33</v>
      </c>
      <c r="I71">
        <v>21</v>
      </c>
      <c r="J71" t="s">
        <v>66</v>
      </c>
      <c r="K71" t="s">
        <v>19</v>
      </c>
      <c r="L71">
        <v>842.75</v>
      </c>
      <c r="M71">
        <v>5</v>
      </c>
      <c r="N71">
        <v>4213.75</v>
      </c>
    </row>
    <row r="72" spans="1:14" x14ac:dyDescent="0.3">
      <c r="A72">
        <v>71</v>
      </c>
      <c r="B72" s="37">
        <v>45985</v>
      </c>
      <c r="C72">
        <v>37</v>
      </c>
      <c r="D72" t="s">
        <v>51</v>
      </c>
      <c r="E72" t="s">
        <v>47</v>
      </c>
      <c r="F72">
        <v>69</v>
      </c>
      <c r="G72" t="s">
        <v>59</v>
      </c>
      <c r="H72" t="s">
        <v>33</v>
      </c>
      <c r="I72">
        <v>5</v>
      </c>
      <c r="J72" t="s">
        <v>82</v>
      </c>
      <c r="K72" t="s">
        <v>29</v>
      </c>
      <c r="L72">
        <v>691.29</v>
      </c>
      <c r="M72">
        <v>4</v>
      </c>
      <c r="N72">
        <v>2765.16</v>
      </c>
    </row>
    <row r="73" spans="1:14" x14ac:dyDescent="0.3">
      <c r="A73">
        <v>72</v>
      </c>
      <c r="B73" s="37">
        <v>45698</v>
      </c>
      <c r="C73">
        <v>110</v>
      </c>
      <c r="D73" t="s">
        <v>46</v>
      </c>
      <c r="E73" t="s">
        <v>36</v>
      </c>
      <c r="F73">
        <v>50</v>
      </c>
      <c r="G73" t="s">
        <v>59</v>
      </c>
      <c r="H73" t="s">
        <v>33</v>
      </c>
      <c r="I73">
        <v>13</v>
      </c>
      <c r="J73" t="s">
        <v>40</v>
      </c>
      <c r="K73" t="s">
        <v>38</v>
      </c>
      <c r="L73">
        <v>1340.6</v>
      </c>
      <c r="M73">
        <v>6</v>
      </c>
      <c r="N73">
        <v>8043.6</v>
      </c>
    </row>
    <row r="74" spans="1:14" x14ac:dyDescent="0.3">
      <c r="A74">
        <v>73</v>
      </c>
      <c r="B74" s="37">
        <v>45495</v>
      </c>
      <c r="C74">
        <v>106</v>
      </c>
      <c r="D74" t="s">
        <v>63</v>
      </c>
      <c r="E74" t="s">
        <v>21</v>
      </c>
      <c r="F74">
        <v>30</v>
      </c>
      <c r="G74" t="s">
        <v>59</v>
      </c>
      <c r="H74" t="s">
        <v>33</v>
      </c>
      <c r="I74">
        <v>1</v>
      </c>
      <c r="J74" t="s">
        <v>69</v>
      </c>
      <c r="K74" t="s">
        <v>29</v>
      </c>
      <c r="L74">
        <v>83.63</v>
      </c>
      <c r="M74">
        <v>1</v>
      </c>
      <c r="N74">
        <v>83.63</v>
      </c>
    </row>
    <row r="75" spans="1:14" x14ac:dyDescent="0.3">
      <c r="A75">
        <v>74</v>
      </c>
      <c r="B75" s="37">
        <v>45898</v>
      </c>
      <c r="C75">
        <v>52</v>
      </c>
      <c r="D75" t="s">
        <v>39</v>
      </c>
      <c r="E75" t="s">
        <v>27</v>
      </c>
      <c r="F75">
        <v>60</v>
      </c>
      <c r="G75" t="s">
        <v>49</v>
      </c>
      <c r="H75" t="s">
        <v>91</v>
      </c>
      <c r="I75">
        <v>10</v>
      </c>
      <c r="J75" t="s">
        <v>70</v>
      </c>
      <c r="K75" t="s">
        <v>71</v>
      </c>
      <c r="L75">
        <v>608.48</v>
      </c>
      <c r="M75">
        <v>6</v>
      </c>
      <c r="N75">
        <v>3650.88</v>
      </c>
    </row>
    <row r="76" spans="1:14" x14ac:dyDescent="0.3">
      <c r="A76">
        <v>75</v>
      </c>
      <c r="B76" s="37">
        <v>45934</v>
      </c>
      <c r="C76">
        <v>23</v>
      </c>
      <c r="D76" t="s">
        <v>35</v>
      </c>
      <c r="E76" t="s">
        <v>44</v>
      </c>
      <c r="F76">
        <v>49</v>
      </c>
      <c r="G76" t="s">
        <v>16</v>
      </c>
      <c r="H76" t="s">
        <v>17</v>
      </c>
      <c r="I76">
        <v>3</v>
      </c>
      <c r="J76" t="s">
        <v>28</v>
      </c>
      <c r="K76" t="s">
        <v>29</v>
      </c>
      <c r="L76">
        <v>922.74</v>
      </c>
      <c r="M76">
        <v>2</v>
      </c>
      <c r="N76">
        <v>1845.48</v>
      </c>
    </row>
    <row r="77" spans="1:14" x14ac:dyDescent="0.3">
      <c r="A77">
        <v>76</v>
      </c>
      <c r="B77" s="37">
        <v>45396</v>
      </c>
      <c r="C77">
        <v>31</v>
      </c>
      <c r="D77" t="s">
        <v>30</v>
      </c>
      <c r="E77" t="s">
        <v>60</v>
      </c>
      <c r="F77">
        <v>66</v>
      </c>
      <c r="G77" t="s">
        <v>59</v>
      </c>
      <c r="H77" t="s">
        <v>33</v>
      </c>
      <c r="I77">
        <v>10</v>
      </c>
      <c r="J77" t="s">
        <v>70</v>
      </c>
      <c r="K77" t="s">
        <v>71</v>
      </c>
      <c r="L77">
        <v>608.48</v>
      </c>
      <c r="M77">
        <v>6</v>
      </c>
      <c r="N77">
        <v>3650.88</v>
      </c>
    </row>
    <row r="78" spans="1:14" x14ac:dyDescent="0.3">
      <c r="A78">
        <v>77</v>
      </c>
      <c r="B78" s="37">
        <v>45600</v>
      </c>
      <c r="C78">
        <v>6</v>
      </c>
      <c r="D78" t="s">
        <v>35</v>
      </c>
      <c r="E78" t="s">
        <v>74</v>
      </c>
      <c r="F78">
        <v>55</v>
      </c>
      <c r="G78" t="s">
        <v>32</v>
      </c>
      <c r="H78" t="s">
        <v>33</v>
      </c>
      <c r="I78">
        <v>13</v>
      </c>
      <c r="J78" t="s">
        <v>40</v>
      </c>
      <c r="K78" t="s">
        <v>38</v>
      </c>
      <c r="L78">
        <v>1340.6</v>
      </c>
      <c r="M78">
        <v>6</v>
      </c>
      <c r="N78">
        <v>8043.6</v>
      </c>
    </row>
    <row r="79" spans="1:14" x14ac:dyDescent="0.3">
      <c r="A79">
        <v>78</v>
      </c>
      <c r="B79" s="37">
        <v>45906</v>
      </c>
      <c r="C79">
        <v>82</v>
      </c>
      <c r="D79" t="s">
        <v>35</v>
      </c>
      <c r="E79" t="s">
        <v>44</v>
      </c>
      <c r="F79">
        <v>58</v>
      </c>
      <c r="G79" t="s">
        <v>16</v>
      </c>
      <c r="H79" t="s">
        <v>17</v>
      </c>
      <c r="I79">
        <v>26</v>
      </c>
      <c r="J79" t="s">
        <v>54</v>
      </c>
      <c r="K79" t="s">
        <v>25</v>
      </c>
      <c r="L79">
        <v>803.73</v>
      </c>
      <c r="M79">
        <v>1</v>
      </c>
      <c r="N79">
        <v>803.73</v>
      </c>
    </row>
    <row r="80" spans="1:14" x14ac:dyDescent="0.3">
      <c r="A80">
        <v>79</v>
      </c>
      <c r="B80" s="37">
        <v>45871</v>
      </c>
      <c r="C80">
        <v>48</v>
      </c>
      <c r="D80" t="s">
        <v>35</v>
      </c>
      <c r="E80" t="s">
        <v>27</v>
      </c>
      <c r="F80">
        <v>20</v>
      </c>
      <c r="G80" t="s">
        <v>32</v>
      </c>
      <c r="H80" t="s">
        <v>33</v>
      </c>
      <c r="I80">
        <v>13</v>
      </c>
      <c r="J80" t="s">
        <v>40</v>
      </c>
      <c r="K80" t="s">
        <v>38</v>
      </c>
      <c r="L80">
        <v>1340.6</v>
      </c>
      <c r="M80">
        <v>1</v>
      </c>
      <c r="N80">
        <v>1340.6</v>
      </c>
    </row>
    <row r="81" spans="1:14" x14ac:dyDescent="0.3">
      <c r="A81">
        <v>80</v>
      </c>
      <c r="B81" s="37">
        <v>45647</v>
      </c>
      <c r="C81">
        <v>113</v>
      </c>
      <c r="D81" t="s">
        <v>30</v>
      </c>
      <c r="E81" t="s">
        <v>41</v>
      </c>
      <c r="F81">
        <v>29</v>
      </c>
      <c r="G81" t="s">
        <v>32</v>
      </c>
      <c r="H81" t="s">
        <v>33</v>
      </c>
      <c r="I81">
        <v>30</v>
      </c>
      <c r="J81" t="s">
        <v>73</v>
      </c>
      <c r="K81" t="s">
        <v>25</v>
      </c>
      <c r="L81">
        <v>672.22</v>
      </c>
      <c r="M81">
        <v>5</v>
      </c>
      <c r="N81">
        <v>3361.1</v>
      </c>
    </row>
    <row r="82" spans="1:14" x14ac:dyDescent="0.3">
      <c r="A82">
        <v>81</v>
      </c>
      <c r="B82" s="37">
        <v>45730</v>
      </c>
      <c r="C82">
        <v>99</v>
      </c>
      <c r="D82" t="s">
        <v>83</v>
      </c>
      <c r="E82" t="s">
        <v>74</v>
      </c>
      <c r="F82">
        <v>40</v>
      </c>
      <c r="G82" t="s">
        <v>49</v>
      </c>
      <c r="H82" t="s">
        <v>50</v>
      </c>
      <c r="I82">
        <v>24</v>
      </c>
      <c r="J82" t="s">
        <v>45</v>
      </c>
      <c r="K82" t="s">
        <v>19</v>
      </c>
      <c r="L82">
        <v>213.01</v>
      </c>
      <c r="M82">
        <v>6</v>
      </c>
      <c r="N82">
        <v>1278.06</v>
      </c>
    </row>
    <row r="83" spans="1:14" x14ac:dyDescent="0.3">
      <c r="A83">
        <v>82</v>
      </c>
      <c r="B83" s="37">
        <v>45671</v>
      </c>
      <c r="C83">
        <v>3</v>
      </c>
      <c r="D83" t="s">
        <v>79</v>
      </c>
      <c r="E83" t="s">
        <v>15</v>
      </c>
      <c r="F83">
        <v>20</v>
      </c>
      <c r="G83" t="s">
        <v>59</v>
      </c>
      <c r="H83" t="s">
        <v>33</v>
      </c>
      <c r="I83">
        <v>9</v>
      </c>
      <c r="J83" t="s">
        <v>76</v>
      </c>
      <c r="K83" t="s">
        <v>71</v>
      </c>
      <c r="L83">
        <v>585.21</v>
      </c>
      <c r="M83">
        <v>1</v>
      </c>
      <c r="N83">
        <v>585.21</v>
      </c>
    </row>
    <row r="84" spans="1:14" x14ac:dyDescent="0.3">
      <c r="A84">
        <v>83</v>
      </c>
      <c r="B84" s="37">
        <v>45810</v>
      </c>
      <c r="C84">
        <v>45</v>
      </c>
      <c r="D84" t="s">
        <v>75</v>
      </c>
      <c r="E84" t="s">
        <v>60</v>
      </c>
      <c r="F84">
        <v>46</v>
      </c>
      <c r="G84" t="s">
        <v>16</v>
      </c>
      <c r="H84" t="s">
        <v>17</v>
      </c>
      <c r="I84">
        <v>23</v>
      </c>
      <c r="J84" t="s">
        <v>18</v>
      </c>
      <c r="K84" t="s">
        <v>19</v>
      </c>
      <c r="L84">
        <v>-195.22</v>
      </c>
      <c r="M84">
        <v>6</v>
      </c>
      <c r="N84">
        <v>1171.32</v>
      </c>
    </row>
    <row r="85" spans="1:14" x14ac:dyDescent="0.3">
      <c r="A85">
        <v>84</v>
      </c>
      <c r="B85" s="37">
        <v>45641</v>
      </c>
      <c r="C85">
        <v>71</v>
      </c>
      <c r="D85" t="s">
        <v>51</v>
      </c>
      <c r="E85" t="s">
        <v>36</v>
      </c>
      <c r="F85">
        <v>31</v>
      </c>
      <c r="G85" t="s">
        <v>16</v>
      </c>
      <c r="H85" t="s">
        <v>17</v>
      </c>
      <c r="I85">
        <v>12</v>
      </c>
      <c r="J85" t="s">
        <v>37</v>
      </c>
      <c r="K85" t="s">
        <v>38</v>
      </c>
      <c r="L85">
        <v>1036.1199999999999</v>
      </c>
      <c r="M85">
        <v>1</v>
      </c>
      <c r="N85">
        <v>1036.1199999999999</v>
      </c>
    </row>
    <row r="86" spans="1:14" x14ac:dyDescent="0.3">
      <c r="A86">
        <v>85</v>
      </c>
      <c r="B86" s="37">
        <v>45722</v>
      </c>
      <c r="C86">
        <v>110</v>
      </c>
      <c r="D86" t="s">
        <v>46</v>
      </c>
      <c r="E86" t="s">
        <v>36</v>
      </c>
      <c r="F86">
        <v>50</v>
      </c>
      <c r="G86" t="s">
        <v>59</v>
      </c>
      <c r="H86" t="s">
        <v>87</v>
      </c>
      <c r="I86">
        <v>18</v>
      </c>
      <c r="J86" t="s">
        <v>68</v>
      </c>
      <c r="K86" t="s">
        <v>43</v>
      </c>
      <c r="L86">
        <v>1209.0999999999999</v>
      </c>
      <c r="M86">
        <v>4</v>
      </c>
      <c r="N86">
        <v>4836.3999999999996</v>
      </c>
    </row>
    <row r="87" spans="1:14" x14ac:dyDescent="0.3">
      <c r="A87">
        <v>86</v>
      </c>
      <c r="B87" s="37">
        <v>45400</v>
      </c>
      <c r="C87">
        <v>2</v>
      </c>
      <c r="D87" t="s">
        <v>72</v>
      </c>
      <c r="E87" t="s">
        <v>41</v>
      </c>
      <c r="F87">
        <v>24</v>
      </c>
      <c r="G87" t="s">
        <v>49</v>
      </c>
      <c r="H87" t="s">
        <v>50</v>
      </c>
      <c r="I87">
        <v>20</v>
      </c>
      <c r="J87" t="s">
        <v>58</v>
      </c>
      <c r="K87" t="s">
        <v>43</v>
      </c>
      <c r="L87">
        <v>704.86</v>
      </c>
      <c r="M87">
        <v>4</v>
      </c>
      <c r="N87">
        <v>2819.44</v>
      </c>
    </row>
    <row r="88" spans="1:14" x14ac:dyDescent="0.3">
      <c r="A88">
        <v>87</v>
      </c>
      <c r="B88" s="37">
        <v>45662</v>
      </c>
      <c r="C88">
        <v>59</v>
      </c>
      <c r="D88" t="s">
        <v>26</v>
      </c>
      <c r="E88" t="s">
        <v>44</v>
      </c>
      <c r="F88">
        <v>52</v>
      </c>
      <c r="G88" t="s">
        <v>59</v>
      </c>
      <c r="H88" t="s">
        <v>33</v>
      </c>
      <c r="I88">
        <v>26</v>
      </c>
      <c r="J88" t="s">
        <v>54</v>
      </c>
      <c r="K88" t="s">
        <v>25</v>
      </c>
      <c r="L88">
        <v>803.73</v>
      </c>
      <c r="M88">
        <v>6</v>
      </c>
      <c r="N88">
        <v>4822.38</v>
      </c>
    </row>
    <row r="89" spans="1:14" x14ac:dyDescent="0.3">
      <c r="A89">
        <v>88</v>
      </c>
      <c r="B89" s="37">
        <v>45762</v>
      </c>
      <c r="C89">
        <v>59</v>
      </c>
      <c r="D89" t="s">
        <v>26</v>
      </c>
      <c r="E89" t="s">
        <v>44</v>
      </c>
      <c r="F89">
        <v>52</v>
      </c>
      <c r="G89" t="s">
        <v>59</v>
      </c>
      <c r="H89" t="s">
        <v>33</v>
      </c>
      <c r="I89">
        <v>20</v>
      </c>
      <c r="J89" t="s">
        <v>58</v>
      </c>
      <c r="K89" t="s">
        <v>43</v>
      </c>
      <c r="L89">
        <v>704.86</v>
      </c>
      <c r="M89">
        <v>6</v>
      </c>
      <c r="N89">
        <v>4229.16</v>
      </c>
    </row>
    <row r="90" spans="1:14" x14ac:dyDescent="0.3">
      <c r="A90">
        <v>89</v>
      </c>
      <c r="B90" s="37">
        <v>45448</v>
      </c>
      <c r="C90">
        <v>15</v>
      </c>
      <c r="D90" t="s">
        <v>83</v>
      </c>
      <c r="E90" t="s">
        <v>31</v>
      </c>
      <c r="F90">
        <v>24</v>
      </c>
      <c r="G90" t="s">
        <v>59</v>
      </c>
      <c r="H90" t="s">
        <v>33</v>
      </c>
      <c r="I90">
        <v>3</v>
      </c>
      <c r="J90" t="s">
        <v>28</v>
      </c>
      <c r="K90" t="s">
        <v>29</v>
      </c>
      <c r="L90">
        <v>922.74</v>
      </c>
      <c r="M90">
        <v>4</v>
      </c>
      <c r="N90">
        <v>3690.96</v>
      </c>
    </row>
    <row r="91" spans="1:14" x14ac:dyDescent="0.3">
      <c r="A91">
        <v>90</v>
      </c>
      <c r="B91" s="37">
        <v>45472</v>
      </c>
      <c r="C91">
        <v>65</v>
      </c>
      <c r="D91" t="s">
        <v>79</v>
      </c>
      <c r="E91" t="s">
        <v>41</v>
      </c>
      <c r="F91">
        <v>52</v>
      </c>
      <c r="G91" t="s">
        <v>32</v>
      </c>
      <c r="H91" t="s">
        <v>33</v>
      </c>
      <c r="I91">
        <v>18</v>
      </c>
      <c r="J91" t="s">
        <v>68</v>
      </c>
      <c r="K91" t="s">
        <v>43</v>
      </c>
      <c r="L91">
        <v>1209.0999999999999</v>
      </c>
      <c r="M91">
        <v>6</v>
      </c>
      <c r="N91">
        <v>7254.6</v>
      </c>
    </row>
    <row r="92" spans="1:14" x14ac:dyDescent="0.3">
      <c r="A92">
        <v>91</v>
      </c>
      <c r="B92" s="37">
        <v>45826</v>
      </c>
      <c r="C92">
        <v>109</v>
      </c>
      <c r="D92" t="s">
        <v>79</v>
      </c>
      <c r="E92" t="s">
        <v>47</v>
      </c>
      <c r="F92">
        <v>60</v>
      </c>
      <c r="G92" t="s">
        <v>16</v>
      </c>
      <c r="H92" t="s">
        <v>17</v>
      </c>
      <c r="I92">
        <v>23</v>
      </c>
      <c r="J92" t="s">
        <v>18</v>
      </c>
      <c r="K92" t="s">
        <v>19</v>
      </c>
      <c r="L92">
        <v>195.22</v>
      </c>
      <c r="M92">
        <v>6</v>
      </c>
      <c r="N92">
        <v>1171.32</v>
      </c>
    </row>
    <row r="93" spans="1:14" x14ac:dyDescent="0.3">
      <c r="A93">
        <v>92</v>
      </c>
      <c r="B93" s="37">
        <v>45568</v>
      </c>
      <c r="C93">
        <v>41</v>
      </c>
      <c r="D93" t="s">
        <v>30</v>
      </c>
      <c r="E93" t="s">
        <v>74</v>
      </c>
      <c r="F93">
        <v>53</v>
      </c>
      <c r="G93" t="s">
        <v>52</v>
      </c>
      <c r="H93" t="s">
        <v>53</v>
      </c>
      <c r="I93">
        <v>28</v>
      </c>
      <c r="J93" t="s">
        <v>77</v>
      </c>
      <c r="K93" t="s">
        <v>25</v>
      </c>
      <c r="L93">
        <v>486.19</v>
      </c>
      <c r="M93">
        <v>5</v>
      </c>
      <c r="N93">
        <v>2430.9499999999998</v>
      </c>
    </row>
    <row r="94" spans="1:14" x14ac:dyDescent="0.3">
      <c r="A94">
        <v>93</v>
      </c>
      <c r="B94" s="37">
        <v>45843</v>
      </c>
      <c r="C94">
        <v>68</v>
      </c>
      <c r="D94" t="s">
        <v>39</v>
      </c>
      <c r="E94" t="s">
        <v>21</v>
      </c>
      <c r="F94">
        <v>22</v>
      </c>
      <c r="G94" t="s">
        <v>52</v>
      </c>
      <c r="H94" t="s">
        <v>53</v>
      </c>
      <c r="I94">
        <v>30</v>
      </c>
      <c r="J94" t="s">
        <v>73</v>
      </c>
      <c r="K94" t="s">
        <v>25</v>
      </c>
      <c r="L94">
        <v>672.22</v>
      </c>
      <c r="M94">
        <v>4</v>
      </c>
      <c r="N94">
        <v>2688.88</v>
      </c>
    </row>
    <row r="95" spans="1:14" x14ac:dyDescent="0.3">
      <c r="A95">
        <v>94</v>
      </c>
      <c r="B95" s="37">
        <v>45768</v>
      </c>
      <c r="C95">
        <v>18</v>
      </c>
      <c r="D95" t="s">
        <v>94</v>
      </c>
      <c r="E95" t="s">
        <v>44</v>
      </c>
      <c r="F95">
        <v>28</v>
      </c>
      <c r="G95" t="s">
        <v>59</v>
      </c>
      <c r="H95" t="s">
        <v>33</v>
      </c>
      <c r="I95">
        <v>12</v>
      </c>
      <c r="J95" t="s">
        <v>37</v>
      </c>
      <c r="K95" t="s">
        <v>38</v>
      </c>
      <c r="L95">
        <v>1036.1199999999999</v>
      </c>
      <c r="M95">
        <v>4</v>
      </c>
      <c r="N95">
        <v>4144.4799999999996</v>
      </c>
    </row>
    <row r="96" spans="1:14" x14ac:dyDescent="0.3">
      <c r="A96">
        <v>95</v>
      </c>
      <c r="B96" s="37">
        <v>45898</v>
      </c>
      <c r="C96">
        <v>101</v>
      </c>
      <c r="D96" t="s">
        <v>36</v>
      </c>
      <c r="E96" t="s">
        <v>36</v>
      </c>
      <c r="F96">
        <v>22</v>
      </c>
      <c r="G96" t="s">
        <v>32</v>
      </c>
      <c r="H96" t="s">
        <v>33</v>
      </c>
      <c r="I96">
        <v>14</v>
      </c>
      <c r="J96" t="s">
        <v>81</v>
      </c>
      <c r="K96" t="s">
        <v>38</v>
      </c>
      <c r="L96">
        <v>1292.75</v>
      </c>
      <c r="M96">
        <v>3</v>
      </c>
      <c r="N96">
        <v>3878.25</v>
      </c>
    </row>
    <row r="97" spans="1:14" x14ac:dyDescent="0.3">
      <c r="A97">
        <v>96</v>
      </c>
      <c r="B97" s="37">
        <v>45622</v>
      </c>
      <c r="C97">
        <v>33</v>
      </c>
      <c r="D97" t="s">
        <v>95</v>
      </c>
      <c r="E97" t="s">
        <v>41</v>
      </c>
      <c r="F97">
        <v>64</v>
      </c>
      <c r="G97" t="s">
        <v>52</v>
      </c>
      <c r="H97" t="s">
        <v>53</v>
      </c>
      <c r="I97">
        <v>28</v>
      </c>
      <c r="J97" t="s">
        <v>77</v>
      </c>
      <c r="K97" t="s">
        <v>25</v>
      </c>
      <c r="L97">
        <v>486.19</v>
      </c>
      <c r="M97">
        <v>2</v>
      </c>
      <c r="N97">
        <v>972.38</v>
      </c>
    </row>
    <row r="98" spans="1:14" x14ac:dyDescent="0.3">
      <c r="A98">
        <v>97</v>
      </c>
      <c r="B98" s="37">
        <v>45380</v>
      </c>
      <c r="C98">
        <v>99</v>
      </c>
      <c r="D98" t="s">
        <v>83</v>
      </c>
      <c r="E98" t="s">
        <v>74</v>
      </c>
      <c r="F98">
        <v>40</v>
      </c>
      <c r="G98" t="s">
        <v>49</v>
      </c>
      <c r="H98" t="s">
        <v>50</v>
      </c>
      <c r="I98">
        <v>24</v>
      </c>
      <c r="J98" t="s">
        <v>45</v>
      </c>
      <c r="K98" t="s">
        <v>19</v>
      </c>
      <c r="L98">
        <v>213.01</v>
      </c>
      <c r="M98">
        <v>3</v>
      </c>
      <c r="N98">
        <v>639.03</v>
      </c>
    </row>
    <row r="99" spans="1:14" x14ac:dyDescent="0.3">
      <c r="A99">
        <v>98</v>
      </c>
      <c r="B99" s="37">
        <v>45753</v>
      </c>
      <c r="C99">
        <v>115</v>
      </c>
      <c r="D99" t="s">
        <v>35</v>
      </c>
      <c r="E99" t="s">
        <v>15</v>
      </c>
      <c r="F99">
        <v>68</v>
      </c>
      <c r="G99" t="s">
        <v>22</v>
      </c>
      <c r="H99" t="s">
        <v>23</v>
      </c>
      <c r="I99">
        <v>20</v>
      </c>
      <c r="J99" t="s">
        <v>58</v>
      </c>
      <c r="K99" t="s">
        <v>43</v>
      </c>
      <c r="L99">
        <v>704.86</v>
      </c>
      <c r="M99">
        <v>2</v>
      </c>
      <c r="N99">
        <v>1409.72</v>
      </c>
    </row>
    <row r="100" spans="1:14" x14ac:dyDescent="0.3">
      <c r="A100">
        <v>99</v>
      </c>
      <c r="B100" s="37">
        <v>45767</v>
      </c>
      <c r="C100">
        <v>55</v>
      </c>
      <c r="D100" t="s">
        <v>63</v>
      </c>
      <c r="E100" t="s">
        <v>41</v>
      </c>
      <c r="F100">
        <v>39</v>
      </c>
      <c r="G100" t="s">
        <v>32</v>
      </c>
      <c r="H100" t="s">
        <v>33</v>
      </c>
      <c r="I100">
        <v>19</v>
      </c>
      <c r="J100" t="s">
        <v>84</v>
      </c>
      <c r="K100" t="s">
        <v>43</v>
      </c>
      <c r="L100">
        <v>1048.43</v>
      </c>
      <c r="M100">
        <v>5</v>
      </c>
      <c r="N100">
        <v>5242.1499999999996</v>
      </c>
    </row>
    <row r="101" spans="1:14" x14ac:dyDescent="0.3">
      <c r="A101">
        <v>100</v>
      </c>
      <c r="B101" s="37">
        <v>45916</v>
      </c>
      <c r="C101">
        <v>70</v>
      </c>
      <c r="D101" t="s">
        <v>79</v>
      </c>
      <c r="E101" t="s">
        <v>27</v>
      </c>
      <c r="F101">
        <v>44</v>
      </c>
      <c r="G101" t="s">
        <v>32</v>
      </c>
      <c r="H101" t="s">
        <v>33</v>
      </c>
      <c r="I101">
        <v>30</v>
      </c>
      <c r="J101" t="s">
        <v>73</v>
      </c>
      <c r="K101" t="s">
        <v>25</v>
      </c>
      <c r="L101">
        <v>672.22</v>
      </c>
      <c r="M101">
        <v>6</v>
      </c>
      <c r="N101">
        <v>4033.32</v>
      </c>
    </row>
    <row r="102" spans="1:14" x14ac:dyDescent="0.3">
      <c r="A102">
        <v>101</v>
      </c>
      <c r="B102" s="37">
        <v>45680</v>
      </c>
      <c r="C102">
        <v>14</v>
      </c>
      <c r="D102" t="s">
        <v>96</v>
      </c>
      <c r="E102" t="s">
        <v>31</v>
      </c>
      <c r="F102">
        <v>67</v>
      </c>
      <c r="G102" t="s">
        <v>32</v>
      </c>
      <c r="H102" t="s">
        <v>33</v>
      </c>
      <c r="I102">
        <v>10</v>
      </c>
      <c r="J102" t="s">
        <v>70</v>
      </c>
      <c r="K102" t="s">
        <v>71</v>
      </c>
      <c r="L102">
        <v>608.48</v>
      </c>
      <c r="M102">
        <v>3</v>
      </c>
      <c r="N102">
        <v>1825.44</v>
      </c>
    </row>
    <row r="103" spans="1:14" x14ac:dyDescent="0.3">
      <c r="A103">
        <v>102</v>
      </c>
      <c r="B103" s="37">
        <v>45321</v>
      </c>
      <c r="C103">
        <v>12</v>
      </c>
      <c r="D103" t="s">
        <v>39</v>
      </c>
      <c r="E103" t="s">
        <v>60</v>
      </c>
      <c r="F103">
        <v>36</v>
      </c>
      <c r="G103" t="s">
        <v>32</v>
      </c>
      <c r="H103" t="s">
        <v>33</v>
      </c>
      <c r="I103">
        <v>10</v>
      </c>
      <c r="J103" t="s">
        <v>70</v>
      </c>
      <c r="K103" t="s">
        <v>71</v>
      </c>
      <c r="L103">
        <v>608.48</v>
      </c>
      <c r="M103">
        <v>4</v>
      </c>
      <c r="N103">
        <v>2433.92</v>
      </c>
    </row>
    <row r="104" spans="1:14" x14ac:dyDescent="0.3">
      <c r="A104">
        <v>103</v>
      </c>
      <c r="B104" s="37">
        <v>45624</v>
      </c>
      <c r="C104">
        <v>112</v>
      </c>
      <c r="D104" t="s">
        <v>35</v>
      </c>
      <c r="E104" t="s">
        <v>15</v>
      </c>
      <c r="F104">
        <v>60</v>
      </c>
      <c r="G104" t="s">
        <v>52</v>
      </c>
      <c r="H104" t="s">
        <v>53</v>
      </c>
      <c r="I104">
        <v>11</v>
      </c>
      <c r="J104" t="s">
        <v>55</v>
      </c>
      <c r="K104" t="s">
        <v>38</v>
      </c>
      <c r="L104">
        <v>234.14</v>
      </c>
      <c r="M104">
        <v>2</v>
      </c>
      <c r="N104">
        <v>468.28</v>
      </c>
    </row>
    <row r="105" spans="1:14" x14ac:dyDescent="0.3">
      <c r="A105">
        <v>104</v>
      </c>
      <c r="B105" s="37">
        <v>45791</v>
      </c>
      <c r="C105">
        <v>42</v>
      </c>
      <c r="D105" t="s">
        <v>20</v>
      </c>
      <c r="E105" t="s">
        <v>21</v>
      </c>
      <c r="F105">
        <v>45</v>
      </c>
      <c r="G105" t="s">
        <v>22</v>
      </c>
      <c r="H105" t="s">
        <v>23</v>
      </c>
      <c r="I105">
        <v>18</v>
      </c>
      <c r="J105" t="s">
        <v>68</v>
      </c>
      <c r="K105" t="s">
        <v>43</v>
      </c>
      <c r="L105">
        <v>1209.0999999999999</v>
      </c>
      <c r="M105">
        <v>2</v>
      </c>
      <c r="N105">
        <v>2418.1999999999998</v>
      </c>
    </row>
    <row r="106" spans="1:14" x14ac:dyDescent="0.3">
      <c r="A106">
        <v>105</v>
      </c>
      <c r="B106" s="37">
        <v>45655</v>
      </c>
      <c r="C106">
        <v>111</v>
      </c>
      <c r="D106" t="s">
        <v>36</v>
      </c>
      <c r="E106" t="s">
        <v>15</v>
      </c>
      <c r="F106">
        <v>62</v>
      </c>
      <c r="G106" t="s">
        <v>32</v>
      </c>
      <c r="H106" t="s">
        <v>91</v>
      </c>
      <c r="I106">
        <v>30</v>
      </c>
      <c r="J106" t="s">
        <v>73</v>
      </c>
      <c r="K106" t="s">
        <v>25</v>
      </c>
      <c r="L106">
        <v>672.22</v>
      </c>
      <c r="M106">
        <v>3</v>
      </c>
      <c r="N106">
        <v>2016.66</v>
      </c>
    </row>
    <row r="107" spans="1:14" x14ac:dyDescent="0.3">
      <c r="A107">
        <v>106</v>
      </c>
      <c r="B107" s="37">
        <v>45640</v>
      </c>
      <c r="C107">
        <v>5</v>
      </c>
      <c r="D107" t="s">
        <v>20</v>
      </c>
      <c r="E107" t="s">
        <v>31</v>
      </c>
      <c r="F107">
        <v>63</v>
      </c>
      <c r="G107" t="s">
        <v>32</v>
      </c>
      <c r="H107" t="s">
        <v>33</v>
      </c>
      <c r="I107">
        <v>16</v>
      </c>
      <c r="J107" t="s">
        <v>64</v>
      </c>
      <c r="K107" t="s">
        <v>43</v>
      </c>
      <c r="L107">
        <v>1170.95</v>
      </c>
      <c r="M107">
        <v>3</v>
      </c>
      <c r="N107">
        <v>3512.85</v>
      </c>
    </row>
    <row r="108" spans="1:14" x14ac:dyDescent="0.3">
      <c r="A108">
        <v>107</v>
      </c>
      <c r="B108" s="37">
        <v>45902</v>
      </c>
      <c r="C108">
        <v>116</v>
      </c>
      <c r="D108" t="s">
        <v>75</v>
      </c>
      <c r="E108" t="s">
        <v>74</v>
      </c>
      <c r="F108">
        <v>46</v>
      </c>
      <c r="G108" t="s">
        <v>16</v>
      </c>
      <c r="H108" t="s">
        <v>17</v>
      </c>
      <c r="I108">
        <v>19</v>
      </c>
      <c r="J108" t="s">
        <v>84</v>
      </c>
      <c r="K108" t="s">
        <v>43</v>
      </c>
      <c r="L108">
        <v>1048.43</v>
      </c>
      <c r="M108">
        <v>6</v>
      </c>
      <c r="N108">
        <v>6290.58</v>
      </c>
    </row>
    <row r="109" spans="1:14" x14ac:dyDescent="0.3">
      <c r="A109">
        <v>108</v>
      </c>
      <c r="B109" s="37">
        <v>45574</v>
      </c>
      <c r="C109">
        <v>13</v>
      </c>
      <c r="D109" t="s">
        <v>79</v>
      </c>
      <c r="E109" t="s">
        <v>31</v>
      </c>
      <c r="F109">
        <v>63</v>
      </c>
      <c r="G109" t="s">
        <v>16</v>
      </c>
      <c r="H109" t="s">
        <v>17</v>
      </c>
      <c r="I109">
        <v>16</v>
      </c>
      <c r="J109" t="s">
        <v>64</v>
      </c>
      <c r="K109" t="s">
        <v>43</v>
      </c>
      <c r="L109">
        <v>1170.95</v>
      </c>
      <c r="M109">
        <v>5</v>
      </c>
      <c r="N109">
        <v>5854.75</v>
      </c>
    </row>
    <row r="110" spans="1:14" x14ac:dyDescent="0.3">
      <c r="A110">
        <v>109</v>
      </c>
      <c r="B110" s="37">
        <v>45302</v>
      </c>
      <c r="C110">
        <v>2</v>
      </c>
      <c r="D110" t="s">
        <v>72</v>
      </c>
      <c r="E110" t="s">
        <v>41</v>
      </c>
      <c r="F110">
        <v>24</v>
      </c>
      <c r="G110" t="s">
        <v>49</v>
      </c>
      <c r="H110" t="s">
        <v>50</v>
      </c>
      <c r="I110">
        <v>5</v>
      </c>
      <c r="J110" t="s">
        <v>82</v>
      </c>
      <c r="K110" t="s">
        <v>29</v>
      </c>
      <c r="L110">
        <v>691.29</v>
      </c>
      <c r="M110">
        <v>5</v>
      </c>
      <c r="N110">
        <v>3456.45</v>
      </c>
    </row>
    <row r="111" spans="1:14" x14ac:dyDescent="0.3">
      <c r="A111">
        <v>110</v>
      </c>
      <c r="B111" s="37">
        <v>45487</v>
      </c>
      <c r="C111">
        <v>76</v>
      </c>
      <c r="D111" t="s">
        <v>72</v>
      </c>
      <c r="E111" t="s">
        <v>47</v>
      </c>
      <c r="F111">
        <v>22</v>
      </c>
      <c r="G111" t="s">
        <v>22</v>
      </c>
      <c r="H111" t="s">
        <v>23</v>
      </c>
      <c r="I111">
        <v>1</v>
      </c>
      <c r="J111" t="s">
        <v>69</v>
      </c>
      <c r="K111" t="s">
        <v>29</v>
      </c>
      <c r="L111">
        <v>83.63</v>
      </c>
      <c r="M111">
        <v>1</v>
      </c>
      <c r="N111">
        <v>83.63</v>
      </c>
    </row>
    <row r="112" spans="1:14" x14ac:dyDescent="0.3">
      <c r="A112">
        <v>111</v>
      </c>
      <c r="B112" s="37">
        <v>45539</v>
      </c>
      <c r="C112">
        <v>100</v>
      </c>
      <c r="D112" t="s">
        <v>35</v>
      </c>
      <c r="E112" t="s">
        <v>62</v>
      </c>
      <c r="F112">
        <v>60</v>
      </c>
      <c r="G112" t="s">
        <v>49</v>
      </c>
      <c r="H112" t="s">
        <v>50</v>
      </c>
      <c r="I112">
        <v>28</v>
      </c>
      <c r="J112" t="s">
        <v>77</v>
      </c>
      <c r="K112" t="s">
        <v>25</v>
      </c>
      <c r="L112">
        <v>486.19</v>
      </c>
      <c r="M112">
        <v>6</v>
      </c>
      <c r="N112">
        <v>2917.14</v>
      </c>
    </row>
    <row r="113" spans="1:14" x14ac:dyDescent="0.3">
      <c r="A113">
        <v>112</v>
      </c>
      <c r="B113" s="37">
        <v>45708</v>
      </c>
      <c r="C113">
        <v>51</v>
      </c>
      <c r="D113" t="s">
        <v>35</v>
      </c>
      <c r="E113" t="s">
        <v>74</v>
      </c>
      <c r="F113">
        <v>69</v>
      </c>
      <c r="G113" t="s">
        <v>52</v>
      </c>
      <c r="H113" t="s">
        <v>53</v>
      </c>
      <c r="I113">
        <v>14</v>
      </c>
      <c r="J113" t="s">
        <v>81</v>
      </c>
      <c r="K113" t="s">
        <v>38</v>
      </c>
      <c r="L113">
        <v>1292.75</v>
      </c>
      <c r="M113">
        <v>4</v>
      </c>
      <c r="N113">
        <v>5171</v>
      </c>
    </row>
    <row r="114" spans="1:14" x14ac:dyDescent="0.3">
      <c r="A114">
        <v>113</v>
      </c>
      <c r="B114" s="37">
        <v>45860</v>
      </c>
      <c r="C114">
        <v>36</v>
      </c>
      <c r="D114" t="s">
        <v>79</v>
      </c>
      <c r="E114" t="s">
        <v>47</v>
      </c>
      <c r="F114">
        <v>49</v>
      </c>
      <c r="G114" t="s">
        <v>32</v>
      </c>
      <c r="H114" t="s">
        <v>33</v>
      </c>
      <c r="I114">
        <v>26</v>
      </c>
      <c r="J114" t="s">
        <v>54</v>
      </c>
      <c r="K114" t="s">
        <v>25</v>
      </c>
      <c r="L114">
        <v>803.73</v>
      </c>
      <c r="M114">
        <v>2</v>
      </c>
      <c r="N114">
        <v>1607.46</v>
      </c>
    </row>
    <row r="115" spans="1:14" x14ac:dyDescent="0.3">
      <c r="A115">
        <v>114</v>
      </c>
      <c r="B115" s="37">
        <v>45999</v>
      </c>
      <c r="C115">
        <v>27</v>
      </c>
      <c r="D115" t="s">
        <v>39</v>
      </c>
      <c r="E115" t="s">
        <v>62</v>
      </c>
      <c r="F115">
        <v>25</v>
      </c>
      <c r="G115" t="s">
        <v>52</v>
      </c>
      <c r="H115" t="s">
        <v>53</v>
      </c>
      <c r="I115">
        <v>1</v>
      </c>
      <c r="J115" t="s">
        <v>69</v>
      </c>
      <c r="K115" t="s">
        <v>29</v>
      </c>
      <c r="L115">
        <v>83.63</v>
      </c>
      <c r="M115">
        <v>4</v>
      </c>
      <c r="N115">
        <v>334.52</v>
      </c>
    </row>
    <row r="116" spans="1:14" x14ac:dyDescent="0.3">
      <c r="A116">
        <v>115</v>
      </c>
      <c r="B116" s="37">
        <v>45953</v>
      </c>
      <c r="C116">
        <v>85</v>
      </c>
      <c r="D116" t="s">
        <v>26</v>
      </c>
      <c r="E116" t="s">
        <v>62</v>
      </c>
      <c r="F116">
        <v>39</v>
      </c>
      <c r="G116" t="s">
        <v>22</v>
      </c>
      <c r="H116" t="s">
        <v>23</v>
      </c>
      <c r="I116">
        <v>10</v>
      </c>
      <c r="J116" t="s">
        <v>70</v>
      </c>
      <c r="K116" t="s">
        <v>71</v>
      </c>
      <c r="L116">
        <v>608.48</v>
      </c>
      <c r="M116">
        <v>6</v>
      </c>
      <c r="N116">
        <v>3650.88</v>
      </c>
    </row>
    <row r="117" spans="1:14" x14ac:dyDescent="0.3">
      <c r="A117">
        <v>116</v>
      </c>
      <c r="B117" s="37">
        <v>45794</v>
      </c>
      <c r="C117">
        <v>44</v>
      </c>
      <c r="D117" t="s">
        <v>46</v>
      </c>
      <c r="E117" t="s">
        <v>36</v>
      </c>
      <c r="F117" t="s">
        <v>89</v>
      </c>
      <c r="G117" t="s">
        <v>49</v>
      </c>
      <c r="H117" t="s">
        <v>50</v>
      </c>
      <c r="I117">
        <v>19</v>
      </c>
      <c r="J117" t="s">
        <v>84</v>
      </c>
      <c r="K117" t="s">
        <v>43</v>
      </c>
      <c r="L117">
        <v>1048.43</v>
      </c>
      <c r="M117">
        <v>4</v>
      </c>
      <c r="N117">
        <v>4193.72</v>
      </c>
    </row>
    <row r="118" spans="1:14" x14ac:dyDescent="0.3">
      <c r="A118">
        <v>117</v>
      </c>
      <c r="B118" s="37">
        <v>45309</v>
      </c>
      <c r="C118">
        <v>17</v>
      </c>
      <c r="D118" t="s">
        <v>36</v>
      </c>
      <c r="E118" t="s">
        <v>31</v>
      </c>
      <c r="F118">
        <v>60</v>
      </c>
      <c r="G118" t="s">
        <v>16</v>
      </c>
      <c r="H118" t="s">
        <v>17</v>
      </c>
      <c r="I118">
        <v>30</v>
      </c>
      <c r="J118" t="s">
        <v>73</v>
      </c>
      <c r="K118" t="s">
        <v>25</v>
      </c>
      <c r="L118">
        <v>672.22</v>
      </c>
      <c r="M118">
        <v>1</v>
      </c>
      <c r="N118">
        <v>672.22</v>
      </c>
    </row>
    <row r="119" spans="1:14" x14ac:dyDescent="0.3">
      <c r="A119">
        <v>118</v>
      </c>
      <c r="B119" s="37">
        <v>45593</v>
      </c>
      <c r="C119">
        <v>19</v>
      </c>
      <c r="D119" t="s">
        <v>72</v>
      </c>
      <c r="E119" t="s">
        <v>74</v>
      </c>
      <c r="F119">
        <v>42</v>
      </c>
      <c r="G119" t="s">
        <v>49</v>
      </c>
      <c r="H119" t="s">
        <v>50</v>
      </c>
      <c r="I119">
        <v>19</v>
      </c>
      <c r="J119" t="s">
        <v>84</v>
      </c>
      <c r="K119" t="s">
        <v>43</v>
      </c>
      <c r="L119">
        <v>1048.43</v>
      </c>
      <c r="M119">
        <v>2</v>
      </c>
      <c r="N119">
        <v>2096.86</v>
      </c>
    </row>
    <row r="120" spans="1:14" x14ac:dyDescent="0.3">
      <c r="A120">
        <v>119</v>
      </c>
      <c r="B120" s="37">
        <v>45706</v>
      </c>
      <c r="C120">
        <v>115</v>
      </c>
      <c r="D120" t="s">
        <v>35</v>
      </c>
      <c r="E120" t="s">
        <v>15</v>
      </c>
      <c r="F120">
        <v>68</v>
      </c>
      <c r="G120" t="s">
        <v>22</v>
      </c>
      <c r="H120" t="s">
        <v>23</v>
      </c>
      <c r="I120">
        <v>5</v>
      </c>
      <c r="J120" t="s">
        <v>82</v>
      </c>
      <c r="K120" t="s">
        <v>29</v>
      </c>
      <c r="L120">
        <v>691.29</v>
      </c>
      <c r="M120">
        <v>6</v>
      </c>
      <c r="N120">
        <v>4147.74</v>
      </c>
    </row>
    <row r="121" spans="1:14" x14ac:dyDescent="0.3">
      <c r="A121">
        <v>120</v>
      </c>
      <c r="B121" s="37">
        <v>45541</v>
      </c>
      <c r="C121">
        <v>86</v>
      </c>
      <c r="D121" t="s">
        <v>30</v>
      </c>
      <c r="E121" t="s">
        <v>36</v>
      </c>
      <c r="F121">
        <v>28</v>
      </c>
      <c r="G121" t="s">
        <v>52</v>
      </c>
      <c r="H121" t="s">
        <v>53</v>
      </c>
      <c r="I121">
        <v>1</v>
      </c>
      <c r="J121" t="s">
        <v>69</v>
      </c>
      <c r="K121" t="s">
        <v>29</v>
      </c>
      <c r="L121">
        <v>83.63</v>
      </c>
      <c r="M121">
        <v>3</v>
      </c>
      <c r="N121">
        <v>250.89</v>
      </c>
    </row>
    <row r="122" spans="1:14" x14ac:dyDescent="0.3">
      <c r="A122">
        <v>121</v>
      </c>
      <c r="B122" s="37">
        <v>45971</v>
      </c>
      <c r="C122">
        <v>68</v>
      </c>
      <c r="D122" t="s">
        <v>39</v>
      </c>
      <c r="E122" t="s">
        <v>21</v>
      </c>
      <c r="F122">
        <v>22</v>
      </c>
      <c r="G122" t="s">
        <v>52</v>
      </c>
      <c r="H122" t="s">
        <v>53</v>
      </c>
      <c r="I122">
        <v>24</v>
      </c>
      <c r="J122" t="s">
        <v>45</v>
      </c>
      <c r="K122" t="s">
        <v>19</v>
      </c>
      <c r="L122">
        <v>213.01</v>
      </c>
      <c r="M122">
        <v>5</v>
      </c>
      <c r="N122">
        <v>1065.05</v>
      </c>
    </row>
    <row r="123" spans="1:14" x14ac:dyDescent="0.3">
      <c r="A123">
        <v>122</v>
      </c>
      <c r="B123" s="37">
        <v>45669</v>
      </c>
      <c r="C123">
        <v>24</v>
      </c>
      <c r="D123" t="s">
        <v>72</v>
      </c>
      <c r="E123" t="s">
        <v>36</v>
      </c>
      <c r="F123">
        <v>26</v>
      </c>
      <c r="G123" t="s">
        <v>52</v>
      </c>
      <c r="H123" t="s">
        <v>53</v>
      </c>
      <c r="I123">
        <v>23</v>
      </c>
      <c r="J123" t="s">
        <v>18</v>
      </c>
      <c r="K123" t="s">
        <v>19</v>
      </c>
      <c r="L123">
        <v>195.22</v>
      </c>
      <c r="M123">
        <v>4</v>
      </c>
      <c r="N123">
        <v>780.88</v>
      </c>
    </row>
    <row r="124" spans="1:14" x14ac:dyDescent="0.3">
      <c r="A124">
        <v>123</v>
      </c>
      <c r="B124" s="37">
        <v>45858</v>
      </c>
      <c r="C124">
        <v>5</v>
      </c>
      <c r="D124" t="s">
        <v>20</v>
      </c>
      <c r="E124" t="s">
        <v>31</v>
      </c>
      <c r="F124">
        <v>63</v>
      </c>
      <c r="G124" t="s">
        <v>32</v>
      </c>
      <c r="H124" t="s">
        <v>33</v>
      </c>
      <c r="I124">
        <v>14</v>
      </c>
      <c r="J124" t="s">
        <v>81</v>
      </c>
      <c r="K124" t="s">
        <v>38</v>
      </c>
      <c r="L124">
        <v>1292.75</v>
      </c>
      <c r="M124">
        <v>5</v>
      </c>
      <c r="N124">
        <v>6463.75</v>
      </c>
    </row>
    <row r="125" spans="1:14" x14ac:dyDescent="0.3">
      <c r="A125">
        <v>124</v>
      </c>
      <c r="B125" s="37">
        <v>45644</v>
      </c>
      <c r="C125">
        <v>24</v>
      </c>
      <c r="D125" t="s">
        <v>72</v>
      </c>
      <c r="E125" t="s">
        <v>36</v>
      </c>
      <c r="F125">
        <v>26</v>
      </c>
      <c r="G125" t="s">
        <v>52</v>
      </c>
      <c r="H125" t="s">
        <v>53</v>
      </c>
      <c r="I125">
        <v>30</v>
      </c>
      <c r="J125" t="s">
        <v>73</v>
      </c>
      <c r="K125" t="s">
        <v>97</v>
      </c>
      <c r="L125">
        <v>672.22</v>
      </c>
      <c r="M125">
        <v>4</v>
      </c>
      <c r="N125">
        <v>2688.88</v>
      </c>
    </row>
    <row r="126" spans="1:14" x14ac:dyDescent="0.3">
      <c r="A126">
        <v>125</v>
      </c>
      <c r="B126" s="37">
        <v>45855</v>
      </c>
      <c r="C126">
        <v>112</v>
      </c>
      <c r="D126" t="s">
        <v>35</v>
      </c>
      <c r="E126" t="s">
        <v>15</v>
      </c>
      <c r="F126">
        <v>60</v>
      </c>
      <c r="G126" t="s">
        <v>52</v>
      </c>
      <c r="H126" t="s">
        <v>87</v>
      </c>
      <c r="I126">
        <v>15</v>
      </c>
      <c r="J126" t="s">
        <v>67</v>
      </c>
      <c r="K126" t="s">
        <v>38</v>
      </c>
      <c r="L126">
        <v>1329.92</v>
      </c>
      <c r="M126">
        <v>3</v>
      </c>
      <c r="N126">
        <v>3989.76</v>
      </c>
    </row>
    <row r="127" spans="1:14" x14ac:dyDescent="0.3">
      <c r="A127">
        <v>126</v>
      </c>
      <c r="B127" s="37">
        <v>45652</v>
      </c>
      <c r="C127">
        <v>99</v>
      </c>
      <c r="D127" t="s">
        <v>83</v>
      </c>
      <c r="E127" t="s">
        <v>74</v>
      </c>
      <c r="F127">
        <v>40</v>
      </c>
      <c r="G127" t="s">
        <v>49</v>
      </c>
      <c r="H127" t="s">
        <v>50</v>
      </c>
      <c r="I127">
        <v>20</v>
      </c>
      <c r="J127" t="s">
        <v>58</v>
      </c>
      <c r="K127" t="s">
        <v>43</v>
      </c>
      <c r="L127">
        <v>704.86</v>
      </c>
      <c r="M127">
        <v>6</v>
      </c>
      <c r="N127">
        <v>4229.16</v>
      </c>
    </row>
    <row r="128" spans="1:14" x14ac:dyDescent="0.3">
      <c r="A128">
        <v>127</v>
      </c>
      <c r="B128" s="37">
        <v>45756</v>
      </c>
      <c r="C128">
        <v>119</v>
      </c>
      <c r="D128" t="s">
        <v>39</v>
      </c>
      <c r="E128" t="s">
        <v>31</v>
      </c>
      <c r="F128">
        <v>61</v>
      </c>
      <c r="G128" t="s">
        <v>16</v>
      </c>
      <c r="H128" t="s">
        <v>17</v>
      </c>
      <c r="I128">
        <v>29</v>
      </c>
      <c r="J128" t="s">
        <v>65</v>
      </c>
      <c r="K128" t="s">
        <v>25</v>
      </c>
      <c r="L128">
        <v>1136.55</v>
      </c>
      <c r="M128">
        <v>3</v>
      </c>
      <c r="N128">
        <v>3409.65</v>
      </c>
    </row>
    <row r="129" spans="1:14" x14ac:dyDescent="0.3">
      <c r="A129">
        <v>128</v>
      </c>
      <c r="B129" s="37">
        <v>45605</v>
      </c>
      <c r="C129">
        <v>94</v>
      </c>
      <c r="D129" t="s">
        <v>83</v>
      </c>
      <c r="E129" t="s">
        <v>57</v>
      </c>
      <c r="F129">
        <v>69</v>
      </c>
      <c r="G129" t="s">
        <v>49</v>
      </c>
      <c r="H129" t="s">
        <v>50</v>
      </c>
      <c r="I129">
        <v>5</v>
      </c>
      <c r="J129" t="s">
        <v>82</v>
      </c>
      <c r="K129" t="s">
        <v>29</v>
      </c>
      <c r="L129">
        <v>691.29</v>
      </c>
      <c r="M129">
        <v>3</v>
      </c>
      <c r="N129">
        <v>2073.87</v>
      </c>
    </row>
    <row r="130" spans="1:14" x14ac:dyDescent="0.3">
      <c r="A130">
        <v>129</v>
      </c>
      <c r="B130" s="37">
        <v>45528</v>
      </c>
      <c r="C130">
        <v>23</v>
      </c>
      <c r="D130" t="s">
        <v>35</v>
      </c>
      <c r="E130" t="s">
        <v>44</v>
      </c>
      <c r="F130">
        <v>49</v>
      </c>
      <c r="G130" t="s">
        <v>16</v>
      </c>
      <c r="H130" t="s">
        <v>17</v>
      </c>
      <c r="I130">
        <v>28</v>
      </c>
      <c r="J130" t="s">
        <v>77</v>
      </c>
      <c r="K130" t="s">
        <v>25</v>
      </c>
      <c r="L130">
        <v>486.19</v>
      </c>
      <c r="M130">
        <v>1</v>
      </c>
      <c r="N130">
        <v>486.19</v>
      </c>
    </row>
    <row r="131" spans="1:14" x14ac:dyDescent="0.3">
      <c r="A131">
        <v>130</v>
      </c>
      <c r="B131" s="37">
        <v>45489</v>
      </c>
      <c r="C131">
        <v>93</v>
      </c>
      <c r="D131" t="s">
        <v>79</v>
      </c>
      <c r="E131" t="s">
        <v>41</v>
      </c>
      <c r="F131">
        <v>27</v>
      </c>
      <c r="G131" t="s">
        <v>32</v>
      </c>
      <c r="H131" t="s">
        <v>33</v>
      </c>
      <c r="I131">
        <v>13</v>
      </c>
      <c r="J131" t="s">
        <v>40</v>
      </c>
      <c r="K131" t="s">
        <v>38</v>
      </c>
      <c r="L131">
        <v>1340.6</v>
      </c>
      <c r="M131">
        <v>3</v>
      </c>
      <c r="N131">
        <v>4021.8</v>
      </c>
    </row>
    <row r="132" spans="1:14" x14ac:dyDescent="0.3">
      <c r="A132">
        <v>131</v>
      </c>
      <c r="B132" s="37">
        <v>45414</v>
      </c>
      <c r="C132">
        <v>17</v>
      </c>
      <c r="D132" t="s">
        <v>36</v>
      </c>
      <c r="E132" t="s">
        <v>31</v>
      </c>
      <c r="F132">
        <v>60</v>
      </c>
      <c r="G132" t="s">
        <v>16</v>
      </c>
      <c r="H132" t="s">
        <v>17</v>
      </c>
      <c r="I132">
        <v>22</v>
      </c>
      <c r="J132" t="s">
        <v>85</v>
      </c>
      <c r="K132" t="s">
        <v>19</v>
      </c>
      <c r="L132">
        <v>1377.44</v>
      </c>
      <c r="M132">
        <v>6</v>
      </c>
      <c r="N132">
        <v>8264.64</v>
      </c>
    </row>
    <row r="133" spans="1:14" x14ac:dyDescent="0.3">
      <c r="A133">
        <v>132</v>
      </c>
      <c r="B133" s="37">
        <v>45840</v>
      </c>
      <c r="C133">
        <v>33</v>
      </c>
      <c r="D133" t="s">
        <v>26</v>
      </c>
      <c r="E133" t="s">
        <v>41</v>
      </c>
      <c r="F133">
        <v>64</v>
      </c>
      <c r="G133" t="s">
        <v>52</v>
      </c>
      <c r="H133" t="s">
        <v>53</v>
      </c>
      <c r="I133">
        <v>1</v>
      </c>
      <c r="J133" t="s">
        <v>69</v>
      </c>
      <c r="K133" t="s">
        <v>29</v>
      </c>
      <c r="L133">
        <v>83.63</v>
      </c>
      <c r="M133">
        <v>6</v>
      </c>
      <c r="N133">
        <v>501.78</v>
      </c>
    </row>
    <row r="134" spans="1:14" x14ac:dyDescent="0.3">
      <c r="A134">
        <v>133</v>
      </c>
      <c r="B134" s="37">
        <v>45481</v>
      </c>
      <c r="C134">
        <v>12</v>
      </c>
      <c r="D134" t="s">
        <v>39</v>
      </c>
      <c r="E134" t="s">
        <v>60</v>
      </c>
      <c r="F134">
        <v>36</v>
      </c>
      <c r="G134" t="s">
        <v>32</v>
      </c>
      <c r="H134" t="s">
        <v>33</v>
      </c>
      <c r="I134">
        <v>9</v>
      </c>
      <c r="J134" t="s">
        <v>76</v>
      </c>
      <c r="K134" t="s">
        <v>71</v>
      </c>
      <c r="L134">
        <v>585.21</v>
      </c>
      <c r="M134">
        <v>2</v>
      </c>
      <c r="N134">
        <v>1170.42</v>
      </c>
    </row>
    <row r="135" spans="1:14" x14ac:dyDescent="0.3">
      <c r="A135">
        <v>134</v>
      </c>
      <c r="B135" s="37">
        <v>45513</v>
      </c>
      <c r="C135">
        <v>113</v>
      </c>
      <c r="D135" t="s">
        <v>30</v>
      </c>
      <c r="E135" t="s">
        <v>41</v>
      </c>
      <c r="F135">
        <v>29</v>
      </c>
      <c r="G135" t="s">
        <v>32</v>
      </c>
      <c r="H135" t="s">
        <v>33</v>
      </c>
      <c r="I135">
        <v>24</v>
      </c>
      <c r="J135" t="s">
        <v>45</v>
      </c>
      <c r="K135" t="s">
        <v>19</v>
      </c>
      <c r="L135">
        <v>213.01</v>
      </c>
      <c r="M135">
        <v>6</v>
      </c>
      <c r="N135">
        <v>1278.06</v>
      </c>
    </row>
    <row r="136" spans="1:14" x14ac:dyDescent="0.3">
      <c r="A136">
        <v>135</v>
      </c>
      <c r="B136" s="37">
        <v>45787</v>
      </c>
      <c r="C136">
        <v>74</v>
      </c>
      <c r="D136" t="s">
        <v>26</v>
      </c>
      <c r="E136" t="s">
        <v>74</v>
      </c>
      <c r="F136">
        <v>57</v>
      </c>
      <c r="G136" t="s">
        <v>59</v>
      </c>
      <c r="H136" t="s">
        <v>33</v>
      </c>
      <c r="I136">
        <v>28</v>
      </c>
      <c r="J136" t="s">
        <v>77</v>
      </c>
      <c r="K136" t="s">
        <v>25</v>
      </c>
      <c r="L136">
        <v>486.19</v>
      </c>
      <c r="M136">
        <v>3</v>
      </c>
      <c r="N136">
        <v>1458.57</v>
      </c>
    </row>
    <row r="137" spans="1:14" x14ac:dyDescent="0.3">
      <c r="A137">
        <v>136</v>
      </c>
      <c r="B137" s="37">
        <v>45895</v>
      </c>
      <c r="C137">
        <v>79</v>
      </c>
      <c r="D137" t="s">
        <v>51</v>
      </c>
      <c r="E137" t="s">
        <v>44</v>
      </c>
      <c r="F137">
        <v>24</v>
      </c>
      <c r="G137" t="s">
        <v>22</v>
      </c>
      <c r="H137" t="s">
        <v>23</v>
      </c>
      <c r="I137">
        <v>6</v>
      </c>
      <c r="J137" t="s">
        <v>86</v>
      </c>
      <c r="K137" t="s">
        <v>71</v>
      </c>
      <c r="L137">
        <v>1330.91</v>
      </c>
      <c r="M137">
        <v>5</v>
      </c>
      <c r="N137">
        <v>6654.55</v>
      </c>
    </row>
    <row r="138" spans="1:14" x14ac:dyDescent="0.3">
      <c r="A138">
        <v>137</v>
      </c>
      <c r="B138" s="37">
        <v>45903</v>
      </c>
      <c r="C138">
        <v>3</v>
      </c>
      <c r="D138" t="s">
        <v>79</v>
      </c>
      <c r="E138" t="s">
        <v>15</v>
      </c>
      <c r="F138">
        <v>20</v>
      </c>
      <c r="G138" t="s">
        <v>59</v>
      </c>
      <c r="H138" t="s">
        <v>33</v>
      </c>
      <c r="I138">
        <v>14</v>
      </c>
      <c r="J138" t="s">
        <v>81</v>
      </c>
      <c r="K138" t="s">
        <v>38</v>
      </c>
      <c r="L138">
        <v>1292.75</v>
      </c>
      <c r="M138">
        <v>3</v>
      </c>
      <c r="N138">
        <v>3878.25</v>
      </c>
    </row>
    <row r="139" spans="1:14" x14ac:dyDescent="0.3">
      <c r="A139">
        <v>138</v>
      </c>
      <c r="B139" s="37">
        <v>45394</v>
      </c>
      <c r="C139">
        <v>120</v>
      </c>
      <c r="D139" t="s">
        <v>14</v>
      </c>
      <c r="E139" t="s">
        <v>31</v>
      </c>
      <c r="F139">
        <v>27</v>
      </c>
      <c r="G139" t="s">
        <v>49</v>
      </c>
      <c r="H139" t="s">
        <v>50</v>
      </c>
      <c r="I139">
        <v>18</v>
      </c>
      <c r="J139" t="s">
        <v>68</v>
      </c>
      <c r="K139" t="s">
        <v>43</v>
      </c>
      <c r="L139">
        <v>1209.0999999999999</v>
      </c>
      <c r="M139">
        <v>2</v>
      </c>
      <c r="N139">
        <v>2418.1999999999998</v>
      </c>
    </row>
    <row r="140" spans="1:14" x14ac:dyDescent="0.3">
      <c r="A140">
        <v>139</v>
      </c>
      <c r="B140" s="37">
        <v>45595</v>
      </c>
      <c r="C140">
        <v>98</v>
      </c>
      <c r="D140" t="s">
        <v>63</v>
      </c>
      <c r="E140" t="s">
        <v>62</v>
      </c>
      <c r="F140">
        <v>48</v>
      </c>
      <c r="G140" t="s">
        <v>59</v>
      </c>
      <c r="H140" t="s">
        <v>33</v>
      </c>
      <c r="I140">
        <v>14</v>
      </c>
      <c r="J140" t="s">
        <v>81</v>
      </c>
      <c r="K140" t="s">
        <v>38</v>
      </c>
      <c r="L140">
        <v>1292.75</v>
      </c>
      <c r="M140">
        <v>2</v>
      </c>
      <c r="N140">
        <v>2585.5</v>
      </c>
    </row>
    <row r="141" spans="1:14" x14ac:dyDescent="0.3">
      <c r="A141">
        <v>140</v>
      </c>
      <c r="B141" s="37">
        <v>45661</v>
      </c>
      <c r="C141">
        <v>53</v>
      </c>
      <c r="D141" t="s">
        <v>63</v>
      </c>
      <c r="E141" t="s">
        <v>15</v>
      </c>
      <c r="F141">
        <v>47</v>
      </c>
      <c r="G141" t="s">
        <v>16</v>
      </c>
      <c r="H141" t="s">
        <v>17</v>
      </c>
      <c r="I141">
        <v>5</v>
      </c>
      <c r="J141" t="s">
        <v>82</v>
      </c>
      <c r="K141" t="s">
        <v>29</v>
      </c>
      <c r="L141">
        <v>691.29</v>
      </c>
      <c r="M141">
        <v>2</v>
      </c>
      <c r="N141">
        <v>1382.58</v>
      </c>
    </row>
    <row r="142" spans="1:14" x14ac:dyDescent="0.3">
      <c r="A142">
        <v>141</v>
      </c>
      <c r="B142" s="37">
        <v>45601</v>
      </c>
      <c r="C142">
        <v>105</v>
      </c>
      <c r="D142" t="s">
        <v>46</v>
      </c>
      <c r="E142" t="s">
        <v>47</v>
      </c>
      <c r="F142">
        <v>45</v>
      </c>
      <c r="G142" t="s">
        <v>16</v>
      </c>
      <c r="H142" t="s">
        <v>17</v>
      </c>
      <c r="I142">
        <v>4</v>
      </c>
      <c r="J142" t="s">
        <v>48</v>
      </c>
      <c r="K142" t="s">
        <v>29</v>
      </c>
      <c r="L142">
        <v>1156.21</v>
      </c>
      <c r="M142">
        <v>1</v>
      </c>
      <c r="N142">
        <v>1156.21</v>
      </c>
    </row>
    <row r="143" spans="1:14" x14ac:dyDescent="0.3">
      <c r="A143">
        <v>142</v>
      </c>
      <c r="B143" s="37">
        <v>46017</v>
      </c>
      <c r="C143">
        <v>40</v>
      </c>
      <c r="D143" t="s">
        <v>14</v>
      </c>
      <c r="E143" t="s">
        <v>60</v>
      </c>
      <c r="F143">
        <v>67</v>
      </c>
      <c r="G143" t="s">
        <v>59</v>
      </c>
      <c r="H143" t="s">
        <v>33</v>
      </c>
      <c r="I143">
        <v>5</v>
      </c>
      <c r="J143" t="s">
        <v>82</v>
      </c>
      <c r="K143" t="s">
        <v>29</v>
      </c>
      <c r="L143">
        <v>691.29</v>
      </c>
      <c r="M143">
        <v>5</v>
      </c>
      <c r="N143">
        <v>3456.45</v>
      </c>
    </row>
    <row r="144" spans="1:14" x14ac:dyDescent="0.3">
      <c r="A144">
        <v>143</v>
      </c>
      <c r="B144" s="37">
        <v>45421</v>
      </c>
      <c r="C144">
        <v>73</v>
      </c>
      <c r="D144" t="s">
        <v>75</v>
      </c>
      <c r="E144" t="s">
        <v>47</v>
      </c>
      <c r="F144">
        <v>66</v>
      </c>
      <c r="G144" t="s">
        <v>22</v>
      </c>
      <c r="H144" t="s">
        <v>23</v>
      </c>
      <c r="I144">
        <v>23</v>
      </c>
      <c r="J144" t="s">
        <v>18</v>
      </c>
      <c r="K144" t="s">
        <v>19</v>
      </c>
      <c r="L144">
        <v>195.22</v>
      </c>
      <c r="M144">
        <v>3</v>
      </c>
      <c r="N144">
        <v>585.66</v>
      </c>
    </row>
    <row r="145" spans="1:14" x14ac:dyDescent="0.3">
      <c r="A145">
        <v>144</v>
      </c>
      <c r="B145" s="37">
        <v>45338</v>
      </c>
      <c r="C145">
        <v>58</v>
      </c>
      <c r="D145" t="s">
        <v>35</v>
      </c>
      <c r="E145" t="s">
        <v>27</v>
      </c>
      <c r="F145">
        <v>46</v>
      </c>
      <c r="G145" t="s">
        <v>52</v>
      </c>
      <c r="H145" t="s">
        <v>53</v>
      </c>
      <c r="I145">
        <v>21</v>
      </c>
      <c r="J145" t="s">
        <v>66</v>
      </c>
      <c r="K145" t="s">
        <v>19</v>
      </c>
      <c r="L145">
        <v>842.75</v>
      </c>
      <c r="M145">
        <v>1</v>
      </c>
      <c r="N145">
        <v>842.75</v>
      </c>
    </row>
    <row r="146" spans="1:14" x14ac:dyDescent="0.3">
      <c r="A146">
        <v>145</v>
      </c>
      <c r="B146" s="37">
        <v>45858</v>
      </c>
      <c r="C146">
        <v>94</v>
      </c>
      <c r="D146" t="s">
        <v>83</v>
      </c>
      <c r="E146" t="s">
        <v>57</v>
      </c>
      <c r="F146">
        <v>69</v>
      </c>
      <c r="G146" t="s">
        <v>49</v>
      </c>
      <c r="H146" t="s">
        <v>50</v>
      </c>
      <c r="I146">
        <v>25</v>
      </c>
      <c r="J146" t="s">
        <v>61</v>
      </c>
      <c r="K146" t="s">
        <v>19</v>
      </c>
      <c r="L146">
        <v>705</v>
      </c>
      <c r="M146">
        <v>3</v>
      </c>
      <c r="N146">
        <v>2115</v>
      </c>
    </row>
    <row r="147" spans="1:14" x14ac:dyDescent="0.3">
      <c r="A147">
        <v>146</v>
      </c>
      <c r="B147" s="37">
        <v>46006</v>
      </c>
      <c r="C147">
        <v>110</v>
      </c>
      <c r="D147" t="s">
        <v>46</v>
      </c>
      <c r="E147" t="s">
        <v>36</v>
      </c>
      <c r="F147">
        <v>50</v>
      </c>
      <c r="G147" t="s">
        <v>59</v>
      </c>
      <c r="H147" t="s">
        <v>33</v>
      </c>
      <c r="I147">
        <v>17</v>
      </c>
      <c r="J147" t="s">
        <v>42</v>
      </c>
      <c r="K147" t="s">
        <v>43</v>
      </c>
      <c r="L147">
        <v>339.98</v>
      </c>
      <c r="M147">
        <v>2</v>
      </c>
      <c r="N147">
        <v>679.96</v>
      </c>
    </row>
    <row r="148" spans="1:14" x14ac:dyDescent="0.3">
      <c r="A148">
        <v>147</v>
      </c>
      <c r="B148" s="37">
        <v>45945</v>
      </c>
      <c r="C148">
        <v>38</v>
      </c>
      <c r="D148" t="s">
        <v>26</v>
      </c>
      <c r="E148" t="s">
        <v>31</v>
      </c>
      <c r="F148">
        <v>54</v>
      </c>
      <c r="G148" t="s">
        <v>49</v>
      </c>
      <c r="H148" t="s">
        <v>50</v>
      </c>
      <c r="I148">
        <v>9</v>
      </c>
      <c r="J148" t="s">
        <v>76</v>
      </c>
      <c r="K148" t="s">
        <v>71</v>
      </c>
      <c r="L148">
        <v>585.21</v>
      </c>
      <c r="M148">
        <v>4</v>
      </c>
      <c r="N148">
        <v>2340.84</v>
      </c>
    </row>
    <row r="149" spans="1:14" x14ac:dyDescent="0.3">
      <c r="A149">
        <v>148</v>
      </c>
      <c r="B149" s="37">
        <v>45397</v>
      </c>
      <c r="C149">
        <v>40</v>
      </c>
      <c r="D149" t="s">
        <v>14</v>
      </c>
      <c r="E149" t="s">
        <v>60</v>
      </c>
      <c r="F149">
        <v>67</v>
      </c>
      <c r="G149" t="s">
        <v>59</v>
      </c>
      <c r="H149" t="s">
        <v>33</v>
      </c>
      <c r="I149">
        <v>15</v>
      </c>
      <c r="J149" t="s">
        <v>67</v>
      </c>
      <c r="K149" t="s">
        <v>38</v>
      </c>
      <c r="L149">
        <v>1329.92</v>
      </c>
      <c r="M149">
        <v>1</v>
      </c>
      <c r="N149">
        <v>1329.92</v>
      </c>
    </row>
    <row r="150" spans="1:14" x14ac:dyDescent="0.3">
      <c r="A150">
        <v>149</v>
      </c>
      <c r="B150" s="37">
        <v>45879</v>
      </c>
      <c r="C150">
        <v>14</v>
      </c>
      <c r="D150" t="s">
        <v>30</v>
      </c>
      <c r="E150" t="s">
        <v>31</v>
      </c>
      <c r="F150">
        <v>67</v>
      </c>
      <c r="G150" t="s">
        <v>32</v>
      </c>
      <c r="H150" t="s">
        <v>33</v>
      </c>
      <c r="I150">
        <v>5</v>
      </c>
      <c r="J150" t="s">
        <v>82</v>
      </c>
      <c r="K150" t="s">
        <v>29</v>
      </c>
      <c r="L150">
        <v>691.29</v>
      </c>
      <c r="M150">
        <v>3</v>
      </c>
      <c r="N150">
        <v>2073.87</v>
      </c>
    </row>
    <row r="151" spans="1:14" x14ac:dyDescent="0.3">
      <c r="A151">
        <v>150</v>
      </c>
      <c r="B151" s="37">
        <v>45772</v>
      </c>
      <c r="C151">
        <v>104</v>
      </c>
      <c r="D151" t="s">
        <v>26</v>
      </c>
      <c r="E151" t="s">
        <v>27</v>
      </c>
      <c r="F151">
        <v>56</v>
      </c>
      <c r="G151" t="s">
        <v>22</v>
      </c>
      <c r="H151" t="s">
        <v>23</v>
      </c>
      <c r="I151">
        <v>10</v>
      </c>
      <c r="J151" t="s">
        <v>70</v>
      </c>
      <c r="K151" t="s">
        <v>71</v>
      </c>
      <c r="L151">
        <v>608.48</v>
      </c>
      <c r="M151">
        <v>4</v>
      </c>
      <c r="N151">
        <v>2433.92</v>
      </c>
    </row>
    <row r="152" spans="1:14" x14ac:dyDescent="0.3">
      <c r="A152">
        <v>151</v>
      </c>
      <c r="B152" s="37">
        <v>45743</v>
      </c>
      <c r="C152">
        <v>113</v>
      </c>
      <c r="D152" t="s">
        <v>30</v>
      </c>
      <c r="E152" t="s">
        <v>41</v>
      </c>
      <c r="F152">
        <v>29</v>
      </c>
      <c r="G152" t="s">
        <v>32</v>
      </c>
      <c r="H152" t="s">
        <v>33</v>
      </c>
      <c r="I152">
        <v>12</v>
      </c>
      <c r="J152" t="s">
        <v>37</v>
      </c>
      <c r="K152" t="s">
        <v>38</v>
      </c>
      <c r="L152">
        <v>1036.1199999999999</v>
      </c>
      <c r="M152">
        <v>3</v>
      </c>
      <c r="N152">
        <v>3108.36</v>
      </c>
    </row>
    <row r="153" spans="1:14" x14ac:dyDescent="0.3">
      <c r="A153">
        <v>152</v>
      </c>
      <c r="B153" s="37">
        <v>45480</v>
      </c>
      <c r="C153">
        <v>38</v>
      </c>
      <c r="D153" t="s">
        <v>26</v>
      </c>
      <c r="E153" t="s">
        <v>31</v>
      </c>
      <c r="F153">
        <v>54</v>
      </c>
      <c r="G153" t="s">
        <v>49</v>
      </c>
      <c r="H153" t="s">
        <v>50</v>
      </c>
      <c r="I153">
        <v>11</v>
      </c>
      <c r="J153" t="s">
        <v>55</v>
      </c>
      <c r="K153" t="s">
        <v>38</v>
      </c>
      <c r="L153">
        <v>234.14</v>
      </c>
      <c r="M153">
        <v>1</v>
      </c>
      <c r="N153">
        <v>234.14</v>
      </c>
    </row>
    <row r="154" spans="1:14" x14ac:dyDescent="0.3">
      <c r="A154">
        <v>153</v>
      </c>
      <c r="B154" s="37">
        <v>45550</v>
      </c>
      <c r="C154">
        <v>91</v>
      </c>
      <c r="D154" t="s">
        <v>51</v>
      </c>
      <c r="E154" t="s">
        <v>62</v>
      </c>
      <c r="F154">
        <v>40</v>
      </c>
      <c r="G154" t="s">
        <v>16</v>
      </c>
      <c r="H154" t="s">
        <v>17</v>
      </c>
      <c r="I154">
        <v>8</v>
      </c>
      <c r="J154" t="s">
        <v>78</v>
      </c>
      <c r="K154" t="s">
        <v>71</v>
      </c>
      <c r="L154">
        <v>1081.74</v>
      </c>
      <c r="M154">
        <v>4</v>
      </c>
      <c r="N154">
        <v>4326.96</v>
      </c>
    </row>
    <row r="155" spans="1:14" x14ac:dyDescent="0.3">
      <c r="A155">
        <v>154</v>
      </c>
      <c r="B155" s="37">
        <v>45408</v>
      </c>
      <c r="C155">
        <v>76</v>
      </c>
      <c r="D155" t="s">
        <v>72</v>
      </c>
      <c r="E155" t="s">
        <v>47</v>
      </c>
      <c r="F155">
        <v>22</v>
      </c>
      <c r="G155" t="s">
        <v>22</v>
      </c>
      <c r="H155" t="s">
        <v>23</v>
      </c>
      <c r="I155">
        <v>30</v>
      </c>
      <c r="J155" t="s">
        <v>73</v>
      </c>
      <c r="K155" t="s">
        <v>25</v>
      </c>
      <c r="L155">
        <v>672.22</v>
      </c>
      <c r="M155">
        <v>1</v>
      </c>
      <c r="N155">
        <v>672.22</v>
      </c>
    </row>
    <row r="156" spans="1:14" x14ac:dyDescent="0.3">
      <c r="A156">
        <v>155</v>
      </c>
      <c r="B156" s="37">
        <v>45702</v>
      </c>
      <c r="C156">
        <v>85</v>
      </c>
      <c r="D156" t="s">
        <v>26</v>
      </c>
      <c r="E156" t="s">
        <v>62</v>
      </c>
      <c r="F156">
        <v>39</v>
      </c>
      <c r="G156" t="s">
        <v>22</v>
      </c>
      <c r="H156" t="s">
        <v>23</v>
      </c>
      <c r="I156">
        <v>24</v>
      </c>
      <c r="J156" t="s">
        <v>45</v>
      </c>
      <c r="K156" t="s">
        <v>19</v>
      </c>
      <c r="L156">
        <v>213.01</v>
      </c>
      <c r="M156">
        <v>4</v>
      </c>
      <c r="N156">
        <v>852.04</v>
      </c>
    </row>
    <row r="157" spans="1:14" x14ac:dyDescent="0.3">
      <c r="A157">
        <v>156</v>
      </c>
      <c r="B157" s="37">
        <v>45367</v>
      </c>
      <c r="C157">
        <v>51</v>
      </c>
      <c r="D157" t="s">
        <v>35</v>
      </c>
      <c r="E157" t="s">
        <v>74</v>
      </c>
      <c r="F157">
        <v>69</v>
      </c>
      <c r="G157" t="s">
        <v>52</v>
      </c>
      <c r="H157" t="s">
        <v>91</v>
      </c>
      <c r="I157">
        <v>29</v>
      </c>
      <c r="J157" t="s">
        <v>65</v>
      </c>
      <c r="K157" t="s">
        <v>25</v>
      </c>
      <c r="L157">
        <v>1136.55</v>
      </c>
      <c r="M157">
        <v>5</v>
      </c>
      <c r="N157">
        <v>5682.75</v>
      </c>
    </row>
    <row r="158" spans="1:14" x14ac:dyDescent="0.3">
      <c r="A158">
        <v>157</v>
      </c>
      <c r="B158" s="37">
        <v>45936</v>
      </c>
      <c r="C158">
        <v>39</v>
      </c>
      <c r="D158" t="s">
        <v>39</v>
      </c>
      <c r="E158" t="s">
        <v>41</v>
      </c>
      <c r="F158">
        <v>49</v>
      </c>
      <c r="G158" t="s">
        <v>59</v>
      </c>
      <c r="H158" t="s">
        <v>33</v>
      </c>
      <c r="I158">
        <v>29</v>
      </c>
      <c r="J158" t="s">
        <v>65</v>
      </c>
      <c r="K158" t="s">
        <v>25</v>
      </c>
      <c r="L158">
        <v>1136.55</v>
      </c>
      <c r="M158">
        <v>6</v>
      </c>
      <c r="N158">
        <v>6819.3</v>
      </c>
    </row>
    <row r="159" spans="1:14" x14ac:dyDescent="0.3">
      <c r="A159">
        <v>158</v>
      </c>
      <c r="B159" s="37">
        <v>45346</v>
      </c>
      <c r="C159">
        <v>48</v>
      </c>
      <c r="D159" t="s">
        <v>35</v>
      </c>
      <c r="E159" t="s">
        <v>27</v>
      </c>
      <c r="F159">
        <v>20</v>
      </c>
      <c r="G159" t="s">
        <v>32</v>
      </c>
      <c r="H159" t="s">
        <v>33</v>
      </c>
      <c r="I159">
        <v>28</v>
      </c>
      <c r="J159" t="s">
        <v>77</v>
      </c>
      <c r="K159" t="s">
        <v>25</v>
      </c>
      <c r="L159">
        <v>486.19</v>
      </c>
      <c r="M159">
        <v>2</v>
      </c>
      <c r="N159">
        <v>972.38</v>
      </c>
    </row>
    <row r="160" spans="1:14" x14ac:dyDescent="0.3">
      <c r="A160">
        <v>159</v>
      </c>
      <c r="B160" s="37">
        <v>45444</v>
      </c>
      <c r="C160">
        <v>106</v>
      </c>
      <c r="D160" t="s">
        <v>63</v>
      </c>
      <c r="E160" t="s">
        <v>21</v>
      </c>
      <c r="F160">
        <v>30</v>
      </c>
      <c r="G160" t="s">
        <v>59</v>
      </c>
      <c r="H160" t="s">
        <v>33</v>
      </c>
      <c r="I160">
        <v>28</v>
      </c>
      <c r="J160" t="s">
        <v>77</v>
      </c>
      <c r="K160" t="s">
        <v>25</v>
      </c>
      <c r="L160">
        <v>486.19</v>
      </c>
      <c r="M160">
        <v>5</v>
      </c>
      <c r="N160">
        <v>2430.9499999999998</v>
      </c>
    </row>
    <row r="161" spans="1:14" x14ac:dyDescent="0.3">
      <c r="A161">
        <v>160</v>
      </c>
      <c r="B161" s="37">
        <v>45603</v>
      </c>
      <c r="C161">
        <v>34</v>
      </c>
      <c r="D161" t="s">
        <v>20</v>
      </c>
      <c r="E161" t="s">
        <v>27</v>
      </c>
      <c r="F161">
        <v>58</v>
      </c>
      <c r="G161" t="s">
        <v>52</v>
      </c>
      <c r="H161" t="s">
        <v>53</v>
      </c>
      <c r="I161">
        <v>19</v>
      </c>
      <c r="J161" t="s">
        <v>84</v>
      </c>
      <c r="K161" t="s">
        <v>43</v>
      </c>
      <c r="L161">
        <v>1048.43</v>
      </c>
      <c r="M161">
        <v>1</v>
      </c>
      <c r="N161">
        <v>1048.43</v>
      </c>
    </row>
    <row r="162" spans="1:14" x14ac:dyDescent="0.3">
      <c r="A162">
        <v>161</v>
      </c>
      <c r="B162" s="37">
        <v>45546</v>
      </c>
      <c r="C162">
        <v>31</v>
      </c>
      <c r="D162" t="s">
        <v>30</v>
      </c>
      <c r="E162" t="s">
        <v>60</v>
      </c>
      <c r="F162">
        <v>66</v>
      </c>
      <c r="G162" t="s">
        <v>59</v>
      </c>
      <c r="H162" t="s">
        <v>33</v>
      </c>
      <c r="I162">
        <v>3</v>
      </c>
      <c r="J162" t="s">
        <v>28</v>
      </c>
      <c r="K162" t="s">
        <v>29</v>
      </c>
      <c r="L162">
        <v>922.74</v>
      </c>
      <c r="M162">
        <v>1</v>
      </c>
      <c r="N162">
        <v>922.74</v>
      </c>
    </row>
    <row r="163" spans="1:14" x14ac:dyDescent="0.3">
      <c r="A163">
        <v>162</v>
      </c>
      <c r="B163" s="37">
        <v>45863</v>
      </c>
      <c r="C163">
        <v>22</v>
      </c>
      <c r="D163" t="s">
        <v>56</v>
      </c>
      <c r="E163" t="s">
        <v>27</v>
      </c>
      <c r="F163">
        <v>31</v>
      </c>
      <c r="G163" t="s">
        <v>32</v>
      </c>
      <c r="H163" t="s">
        <v>33</v>
      </c>
      <c r="I163">
        <v>7</v>
      </c>
      <c r="J163" t="s">
        <v>80</v>
      </c>
      <c r="K163" t="s">
        <v>71</v>
      </c>
      <c r="L163">
        <v>869.87</v>
      </c>
      <c r="M163">
        <v>4</v>
      </c>
      <c r="N163">
        <v>3479.48</v>
      </c>
    </row>
    <row r="164" spans="1:14" x14ac:dyDescent="0.3">
      <c r="A164">
        <v>163</v>
      </c>
      <c r="B164" s="37">
        <v>45912</v>
      </c>
      <c r="C164">
        <v>42</v>
      </c>
      <c r="D164" t="s">
        <v>20</v>
      </c>
      <c r="E164" t="s">
        <v>21</v>
      </c>
      <c r="F164">
        <v>45</v>
      </c>
      <c r="G164" t="s">
        <v>22</v>
      </c>
      <c r="H164" t="s">
        <v>23</v>
      </c>
      <c r="I164">
        <v>13</v>
      </c>
      <c r="J164" t="s">
        <v>40</v>
      </c>
      <c r="K164" t="s">
        <v>38</v>
      </c>
      <c r="L164">
        <v>1340.6</v>
      </c>
      <c r="M164">
        <v>5</v>
      </c>
      <c r="N164">
        <v>6703</v>
      </c>
    </row>
    <row r="165" spans="1:14" x14ac:dyDescent="0.3">
      <c r="A165">
        <v>164</v>
      </c>
      <c r="B165" s="37">
        <v>45925</v>
      </c>
      <c r="C165">
        <v>66</v>
      </c>
      <c r="D165" t="s">
        <v>26</v>
      </c>
      <c r="E165" t="s">
        <v>62</v>
      </c>
      <c r="F165">
        <v>55</v>
      </c>
      <c r="G165" t="s">
        <v>16</v>
      </c>
      <c r="H165" t="s">
        <v>17</v>
      </c>
      <c r="I165">
        <v>4</v>
      </c>
      <c r="J165" t="s">
        <v>48</v>
      </c>
      <c r="K165" t="s">
        <v>29</v>
      </c>
      <c r="L165">
        <v>1156.21</v>
      </c>
      <c r="M165">
        <v>2</v>
      </c>
      <c r="N165">
        <v>2312.42</v>
      </c>
    </row>
    <row r="166" spans="1:14" x14ac:dyDescent="0.3">
      <c r="A166">
        <v>165</v>
      </c>
      <c r="B166" s="37">
        <v>45827</v>
      </c>
      <c r="C166">
        <v>77</v>
      </c>
      <c r="D166" t="s">
        <v>36</v>
      </c>
      <c r="E166" t="s">
        <v>36</v>
      </c>
      <c r="F166">
        <v>28</v>
      </c>
      <c r="G166" t="s">
        <v>49</v>
      </c>
      <c r="H166" t="s">
        <v>50</v>
      </c>
      <c r="I166">
        <v>16</v>
      </c>
      <c r="J166" t="s">
        <v>64</v>
      </c>
      <c r="K166" t="s">
        <v>43</v>
      </c>
      <c r="L166">
        <v>1170.95</v>
      </c>
      <c r="M166">
        <v>4</v>
      </c>
      <c r="N166">
        <v>4683.8</v>
      </c>
    </row>
    <row r="167" spans="1:14" x14ac:dyDescent="0.3">
      <c r="A167">
        <v>166</v>
      </c>
      <c r="B167" s="37">
        <v>45753</v>
      </c>
      <c r="C167">
        <v>112</v>
      </c>
      <c r="D167" t="s">
        <v>35</v>
      </c>
      <c r="E167" t="s">
        <v>15</v>
      </c>
      <c r="F167">
        <v>60</v>
      </c>
      <c r="G167" t="s">
        <v>52</v>
      </c>
      <c r="H167" t="s">
        <v>53</v>
      </c>
      <c r="I167">
        <v>26</v>
      </c>
      <c r="J167" t="s">
        <v>54</v>
      </c>
      <c r="K167" t="s">
        <v>25</v>
      </c>
      <c r="L167">
        <v>803.73</v>
      </c>
      <c r="M167">
        <v>4</v>
      </c>
      <c r="N167">
        <v>3214.92</v>
      </c>
    </row>
    <row r="168" spans="1:14" x14ac:dyDescent="0.3">
      <c r="A168">
        <v>167</v>
      </c>
      <c r="B168" s="37">
        <v>45596</v>
      </c>
      <c r="C168">
        <v>6</v>
      </c>
      <c r="D168" t="s">
        <v>35</v>
      </c>
      <c r="E168" t="s">
        <v>74</v>
      </c>
      <c r="F168">
        <v>55</v>
      </c>
      <c r="G168" t="s">
        <v>32</v>
      </c>
      <c r="H168" t="s">
        <v>33</v>
      </c>
      <c r="I168">
        <v>22</v>
      </c>
      <c r="J168" t="s">
        <v>85</v>
      </c>
      <c r="K168" t="s">
        <v>19</v>
      </c>
      <c r="L168">
        <v>1377.44</v>
      </c>
      <c r="M168">
        <v>5</v>
      </c>
      <c r="N168">
        <v>6887.2</v>
      </c>
    </row>
    <row r="169" spans="1:14" x14ac:dyDescent="0.3">
      <c r="A169">
        <v>168</v>
      </c>
      <c r="B169" s="37">
        <v>45731</v>
      </c>
      <c r="C169">
        <v>45</v>
      </c>
      <c r="D169" t="s">
        <v>75</v>
      </c>
      <c r="E169" t="s">
        <v>60</v>
      </c>
      <c r="F169">
        <v>46</v>
      </c>
      <c r="G169" t="s">
        <v>16</v>
      </c>
      <c r="H169" t="s">
        <v>17</v>
      </c>
      <c r="I169">
        <v>13</v>
      </c>
      <c r="J169" t="s">
        <v>40</v>
      </c>
      <c r="K169" t="s">
        <v>38</v>
      </c>
      <c r="L169">
        <v>1340.6</v>
      </c>
      <c r="M169">
        <v>3</v>
      </c>
      <c r="N169">
        <v>4021.8</v>
      </c>
    </row>
    <row r="170" spans="1:14" x14ac:dyDescent="0.3">
      <c r="A170">
        <v>169</v>
      </c>
      <c r="B170" s="37">
        <v>45874</v>
      </c>
      <c r="C170">
        <v>27</v>
      </c>
      <c r="D170" t="s">
        <v>39</v>
      </c>
      <c r="E170" t="s">
        <v>62</v>
      </c>
      <c r="F170">
        <v>25</v>
      </c>
      <c r="G170" t="s">
        <v>52</v>
      </c>
      <c r="H170" t="s">
        <v>53</v>
      </c>
      <c r="I170">
        <v>23</v>
      </c>
      <c r="J170" t="s">
        <v>18</v>
      </c>
      <c r="K170" t="s">
        <v>19</v>
      </c>
      <c r="L170">
        <v>195.22</v>
      </c>
      <c r="M170">
        <v>5</v>
      </c>
      <c r="N170">
        <v>976.1</v>
      </c>
    </row>
    <row r="171" spans="1:14" x14ac:dyDescent="0.3">
      <c r="A171">
        <v>170</v>
      </c>
      <c r="B171" s="37">
        <v>45353</v>
      </c>
      <c r="C171">
        <v>107</v>
      </c>
      <c r="D171" t="s">
        <v>46</v>
      </c>
      <c r="E171" t="s">
        <v>15</v>
      </c>
      <c r="F171">
        <v>18</v>
      </c>
      <c r="G171" t="s">
        <v>32</v>
      </c>
      <c r="H171" t="s">
        <v>33</v>
      </c>
      <c r="I171">
        <v>16</v>
      </c>
      <c r="J171" t="s">
        <v>64</v>
      </c>
      <c r="K171" t="s">
        <v>43</v>
      </c>
      <c r="L171">
        <v>1170.95</v>
      </c>
      <c r="M171">
        <v>5</v>
      </c>
      <c r="N171">
        <v>5854.75</v>
      </c>
    </row>
    <row r="172" spans="1:14" x14ac:dyDescent="0.3">
      <c r="A172">
        <v>171</v>
      </c>
      <c r="B172" s="37">
        <v>45393</v>
      </c>
      <c r="C172">
        <v>113</v>
      </c>
      <c r="D172" t="s">
        <v>30</v>
      </c>
      <c r="E172" t="s">
        <v>41</v>
      </c>
      <c r="F172">
        <v>29</v>
      </c>
      <c r="G172" t="s">
        <v>32</v>
      </c>
      <c r="H172" t="s">
        <v>33</v>
      </c>
      <c r="I172">
        <v>17</v>
      </c>
      <c r="J172" t="s">
        <v>42</v>
      </c>
      <c r="K172" t="s">
        <v>43</v>
      </c>
      <c r="L172">
        <v>339.98</v>
      </c>
      <c r="M172">
        <v>2</v>
      </c>
      <c r="N172">
        <v>679.96</v>
      </c>
    </row>
    <row r="173" spans="1:14" x14ac:dyDescent="0.3">
      <c r="A173">
        <v>172</v>
      </c>
      <c r="B173" s="37">
        <v>45932</v>
      </c>
      <c r="C173">
        <v>18</v>
      </c>
      <c r="D173" t="s">
        <v>79</v>
      </c>
      <c r="E173" t="s">
        <v>44</v>
      </c>
      <c r="F173">
        <v>28</v>
      </c>
      <c r="G173" t="s">
        <v>59</v>
      </c>
      <c r="H173" t="s">
        <v>33</v>
      </c>
      <c r="I173">
        <v>11</v>
      </c>
      <c r="J173" t="s">
        <v>55</v>
      </c>
      <c r="K173" t="s">
        <v>38</v>
      </c>
      <c r="L173">
        <v>234.14</v>
      </c>
      <c r="M173">
        <v>2</v>
      </c>
      <c r="N173">
        <v>468.28</v>
      </c>
    </row>
    <row r="174" spans="1:14" x14ac:dyDescent="0.3">
      <c r="A174">
        <v>173</v>
      </c>
      <c r="B174" s="37">
        <v>45562</v>
      </c>
      <c r="C174">
        <v>96</v>
      </c>
      <c r="D174" t="s">
        <v>14</v>
      </c>
      <c r="E174" t="s">
        <v>15</v>
      </c>
      <c r="F174">
        <v>69</v>
      </c>
      <c r="G174" t="s">
        <v>16</v>
      </c>
      <c r="H174" t="s">
        <v>17</v>
      </c>
      <c r="I174">
        <v>9</v>
      </c>
      <c r="J174" t="s">
        <v>76</v>
      </c>
      <c r="K174" t="s">
        <v>71</v>
      </c>
      <c r="L174">
        <v>585.21</v>
      </c>
      <c r="M174">
        <v>6</v>
      </c>
      <c r="N174">
        <v>3511.26</v>
      </c>
    </row>
    <row r="175" spans="1:14" x14ac:dyDescent="0.3">
      <c r="A175">
        <v>174</v>
      </c>
      <c r="B175" s="37">
        <v>45375</v>
      </c>
      <c r="C175">
        <v>115</v>
      </c>
      <c r="D175" t="s">
        <v>35</v>
      </c>
      <c r="E175" t="s">
        <v>15</v>
      </c>
      <c r="F175">
        <v>68</v>
      </c>
      <c r="G175" t="s">
        <v>22</v>
      </c>
      <c r="H175" t="s">
        <v>23</v>
      </c>
      <c r="I175">
        <v>16</v>
      </c>
      <c r="J175" t="s">
        <v>64</v>
      </c>
      <c r="K175" t="s">
        <v>43</v>
      </c>
      <c r="L175">
        <v>1170.95</v>
      </c>
      <c r="M175">
        <v>2</v>
      </c>
      <c r="N175">
        <v>2341.9</v>
      </c>
    </row>
    <row r="176" spans="1:14" x14ac:dyDescent="0.3">
      <c r="A176">
        <v>175</v>
      </c>
      <c r="B176" s="37">
        <v>45537</v>
      </c>
      <c r="C176">
        <v>18</v>
      </c>
      <c r="D176" t="s">
        <v>79</v>
      </c>
      <c r="E176" t="s">
        <v>44</v>
      </c>
      <c r="F176">
        <v>28</v>
      </c>
      <c r="G176" t="s">
        <v>59</v>
      </c>
      <c r="H176" t="s">
        <v>33</v>
      </c>
      <c r="I176">
        <v>17</v>
      </c>
      <c r="J176" t="s">
        <v>42</v>
      </c>
      <c r="K176" t="s">
        <v>43</v>
      </c>
      <c r="L176">
        <v>339.98</v>
      </c>
      <c r="M176">
        <v>2</v>
      </c>
      <c r="N176">
        <v>679.96</v>
      </c>
    </row>
    <row r="177" spans="1:14" x14ac:dyDescent="0.3">
      <c r="A177">
        <v>176</v>
      </c>
      <c r="B177" s="37">
        <v>45857</v>
      </c>
      <c r="C177">
        <v>84</v>
      </c>
      <c r="D177" t="s">
        <v>39</v>
      </c>
      <c r="E177" t="s">
        <v>44</v>
      </c>
      <c r="F177">
        <v>45</v>
      </c>
      <c r="G177" t="s">
        <v>32</v>
      </c>
      <c r="H177" t="s">
        <v>33</v>
      </c>
      <c r="I177">
        <v>27</v>
      </c>
      <c r="J177" t="s">
        <v>24</v>
      </c>
      <c r="K177" t="s">
        <v>25</v>
      </c>
      <c r="L177">
        <v>845</v>
      </c>
      <c r="M177">
        <v>1</v>
      </c>
      <c r="N177">
        <v>845</v>
      </c>
    </row>
    <row r="178" spans="1:14" x14ac:dyDescent="0.3">
      <c r="A178">
        <v>177</v>
      </c>
      <c r="B178" s="37">
        <v>45452</v>
      </c>
      <c r="C178">
        <v>2</v>
      </c>
      <c r="D178" t="s">
        <v>72</v>
      </c>
      <c r="E178" t="s">
        <v>41</v>
      </c>
      <c r="F178">
        <v>24</v>
      </c>
      <c r="G178" t="s">
        <v>49</v>
      </c>
      <c r="H178" t="s">
        <v>50</v>
      </c>
      <c r="I178">
        <v>3</v>
      </c>
      <c r="J178" t="s">
        <v>28</v>
      </c>
      <c r="K178" t="s">
        <v>29</v>
      </c>
      <c r="L178">
        <v>922.74</v>
      </c>
      <c r="M178">
        <v>1</v>
      </c>
      <c r="N178">
        <v>922.74</v>
      </c>
    </row>
    <row r="179" spans="1:14" x14ac:dyDescent="0.3">
      <c r="A179">
        <v>178</v>
      </c>
      <c r="B179" s="37">
        <v>45710</v>
      </c>
      <c r="C179">
        <v>95</v>
      </c>
      <c r="D179" t="s">
        <v>51</v>
      </c>
      <c r="E179" t="s">
        <v>15</v>
      </c>
      <c r="F179">
        <v>19</v>
      </c>
      <c r="G179" t="s">
        <v>52</v>
      </c>
      <c r="H179" t="s">
        <v>53</v>
      </c>
      <c r="I179">
        <v>23</v>
      </c>
      <c r="J179" t="s">
        <v>18</v>
      </c>
      <c r="K179" t="s">
        <v>19</v>
      </c>
      <c r="L179">
        <v>195.22</v>
      </c>
      <c r="M179">
        <v>4</v>
      </c>
      <c r="N179">
        <v>780.88</v>
      </c>
    </row>
    <row r="180" spans="1:14" x14ac:dyDescent="0.3">
      <c r="A180">
        <v>179</v>
      </c>
      <c r="B180" s="37">
        <v>45997</v>
      </c>
      <c r="C180">
        <v>87</v>
      </c>
      <c r="D180" t="s">
        <v>20</v>
      </c>
      <c r="E180" t="s">
        <v>41</v>
      </c>
      <c r="F180">
        <v>45</v>
      </c>
      <c r="G180" t="s">
        <v>52</v>
      </c>
      <c r="H180" t="s">
        <v>53</v>
      </c>
      <c r="I180">
        <v>17</v>
      </c>
      <c r="J180" t="s">
        <v>42</v>
      </c>
      <c r="K180" t="s">
        <v>43</v>
      </c>
      <c r="L180">
        <v>339.98</v>
      </c>
      <c r="M180">
        <v>5</v>
      </c>
      <c r="N180">
        <v>1699.9</v>
      </c>
    </row>
    <row r="181" spans="1:14" x14ac:dyDescent="0.3">
      <c r="A181">
        <v>180</v>
      </c>
      <c r="B181" s="37">
        <v>45773</v>
      </c>
      <c r="C181">
        <v>8</v>
      </c>
      <c r="D181" t="s">
        <v>56</v>
      </c>
      <c r="E181" t="s">
        <v>57</v>
      </c>
      <c r="F181">
        <v>31</v>
      </c>
      <c r="G181" t="s">
        <v>16</v>
      </c>
      <c r="H181" t="s">
        <v>17</v>
      </c>
      <c r="I181">
        <v>1</v>
      </c>
      <c r="J181" t="s">
        <v>69</v>
      </c>
      <c r="K181" t="s">
        <v>29</v>
      </c>
      <c r="L181">
        <v>83.63</v>
      </c>
      <c r="M181">
        <v>3</v>
      </c>
      <c r="N181">
        <v>250.89</v>
      </c>
    </row>
    <row r="182" spans="1:14" x14ac:dyDescent="0.3">
      <c r="A182">
        <v>181</v>
      </c>
      <c r="B182" s="37">
        <v>45325</v>
      </c>
      <c r="C182">
        <v>82</v>
      </c>
      <c r="D182" t="s">
        <v>35</v>
      </c>
      <c r="E182" t="s">
        <v>44</v>
      </c>
      <c r="F182">
        <v>58</v>
      </c>
      <c r="G182" t="s">
        <v>16</v>
      </c>
      <c r="H182" t="s">
        <v>17</v>
      </c>
      <c r="I182">
        <v>9</v>
      </c>
      <c r="J182" t="s">
        <v>76</v>
      </c>
      <c r="K182" t="s">
        <v>71</v>
      </c>
      <c r="L182">
        <v>585.21</v>
      </c>
      <c r="M182">
        <v>2</v>
      </c>
      <c r="N182">
        <v>1170.42</v>
      </c>
    </row>
    <row r="183" spans="1:14" x14ac:dyDescent="0.3">
      <c r="A183">
        <v>182</v>
      </c>
      <c r="B183" s="37">
        <v>45587</v>
      </c>
      <c r="C183">
        <v>107</v>
      </c>
      <c r="D183" t="s">
        <v>46</v>
      </c>
      <c r="E183" t="s">
        <v>15</v>
      </c>
      <c r="F183">
        <v>18</v>
      </c>
      <c r="G183" t="s">
        <v>32</v>
      </c>
      <c r="H183" t="s">
        <v>33</v>
      </c>
      <c r="I183">
        <v>13</v>
      </c>
      <c r="J183" t="s">
        <v>40</v>
      </c>
      <c r="K183" t="s">
        <v>38</v>
      </c>
      <c r="L183">
        <v>-1340.6</v>
      </c>
      <c r="M183">
        <v>6</v>
      </c>
      <c r="N183">
        <v>8043.6</v>
      </c>
    </row>
    <row r="184" spans="1:14" x14ac:dyDescent="0.3">
      <c r="A184">
        <v>183</v>
      </c>
      <c r="B184" s="37">
        <v>45581</v>
      </c>
      <c r="C184">
        <v>41</v>
      </c>
      <c r="D184" t="s">
        <v>30</v>
      </c>
      <c r="E184" t="s">
        <v>74</v>
      </c>
      <c r="F184">
        <v>53</v>
      </c>
      <c r="G184" t="s">
        <v>52</v>
      </c>
      <c r="H184" t="s">
        <v>53</v>
      </c>
      <c r="I184">
        <v>17</v>
      </c>
      <c r="J184" t="s">
        <v>42</v>
      </c>
      <c r="K184" t="s">
        <v>43</v>
      </c>
      <c r="L184">
        <v>339.98</v>
      </c>
      <c r="M184">
        <v>6</v>
      </c>
      <c r="N184">
        <v>2039.88</v>
      </c>
    </row>
    <row r="185" spans="1:14" x14ac:dyDescent="0.3">
      <c r="A185">
        <v>184</v>
      </c>
      <c r="B185" s="37">
        <v>45756</v>
      </c>
      <c r="C185">
        <v>2</v>
      </c>
      <c r="D185" t="s">
        <v>72</v>
      </c>
      <c r="E185" t="s">
        <v>41</v>
      </c>
      <c r="F185">
        <v>24</v>
      </c>
      <c r="G185" t="s">
        <v>49</v>
      </c>
      <c r="H185" t="s">
        <v>50</v>
      </c>
      <c r="I185">
        <v>5</v>
      </c>
      <c r="J185" t="s">
        <v>82</v>
      </c>
      <c r="K185" t="s">
        <v>29</v>
      </c>
      <c r="L185">
        <v>691.29</v>
      </c>
      <c r="M185">
        <v>1</v>
      </c>
      <c r="N185">
        <v>691.29</v>
      </c>
    </row>
    <row r="186" spans="1:14" x14ac:dyDescent="0.3">
      <c r="A186">
        <v>185</v>
      </c>
      <c r="B186" s="37">
        <v>45995</v>
      </c>
      <c r="C186">
        <v>102</v>
      </c>
      <c r="D186" t="s">
        <v>36</v>
      </c>
      <c r="E186" t="s">
        <v>44</v>
      </c>
      <c r="F186">
        <v>50</v>
      </c>
      <c r="G186" t="s">
        <v>22</v>
      </c>
      <c r="H186" t="s">
        <v>23</v>
      </c>
      <c r="I186">
        <v>13</v>
      </c>
      <c r="J186" t="s">
        <v>40</v>
      </c>
      <c r="K186" t="s">
        <v>38</v>
      </c>
      <c r="L186">
        <v>1340.6</v>
      </c>
      <c r="M186">
        <v>2</v>
      </c>
      <c r="N186">
        <v>2681.2</v>
      </c>
    </row>
    <row r="187" spans="1:14" x14ac:dyDescent="0.3">
      <c r="A187">
        <v>186</v>
      </c>
      <c r="B187" s="37">
        <v>45562</v>
      </c>
      <c r="C187">
        <v>96</v>
      </c>
      <c r="D187" t="s">
        <v>14</v>
      </c>
      <c r="E187" t="s">
        <v>15</v>
      </c>
      <c r="F187">
        <v>69</v>
      </c>
      <c r="G187" t="s">
        <v>16</v>
      </c>
      <c r="H187" t="s">
        <v>17</v>
      </c>
      <c r="I187">
        <v>30</v>
      </c>
      <c r="J187" t="s">
        <v>73</v>
      </c>
      <c r="K187" t="s">
        <v>25</v>
      </c>
      <c r="L187">
        <v>672.22</v>
      </c>
      <c r="M187">
        <v>6</v>
      </c>
      <c r="N187">
        <v>4033.32</v>
      </c>
    </row>
    <row r="188" spans="1:14" x14ac:dyDescent="0.3">
      <c r="A188">
        <v>187</v>
      </c>
      <c r="B188" s="37">
        <v>45895</v>
      </c>
      <c r="C188">
        <v>69</v>
      </c>
      <c r="D188" t="s">
        <v>63</v>
      </c>
      <c r="E188" t="s">
        <v>27</v>
      </c>
      <c r="F188">
        <v>54</v>
      </c>
      <c r="G188" t="s">
        <v>49</v>
      </c>
      <c r="H188" t="s">
        <v>50</v>
      </c>
      <c r="I188">
        <v>18</v>
      </c>
      <c r="J188" t="s">
        <v>68</v>
      </c>
      <c r="K188" t="s">
        <v>43</v>
      </c>
      <c r="L188">
        <v>1209.0999999999999</v>
      </c>
      <c r="M188">
        <v>6</v>
      </c>
      <c r="N188">
        <v>7254.6</v>
      </c>
    </row>
    <row r="189" spans="1:14" x14ac:dyDescent="0.3">
      <c r="A189">
        <v>188</v>
      </c>
      <c r="B189" s="37">
        <v>45494</v>
      </c>
      <c r="C189">
        <v>50</v>
      </c>
      <c r="D189" t="s">
        <v>35</v>
      </c>
      <c r="E189" t="s">
        <v>60</v>
      </c>
      <c r="F189">
        <v>26</v>
      </c>
      <c r="G189" t="s">
        <v>52</v>
      </c>
      <c r="H189" t="s">
        <v>53</v>
      </c>
      <c r="I189">
        <v>4</v>
      </c>
      <c r="J189" t="s">
        <v>48</v>
      </c>
      <c r="K189" t="s">
        <v>29</v>
      </c>
      <c r="L189">
        <v>1156.21</v>
      </c>
      <c r="M189">
        <v>4</v>
      </c>
      <c r="N189">
        <v>4624.84</v>
      </c>
    </row>
    <row r="190" spans="1:14" x14ac:dyDescent="0.3">
      <c r="A190">
        <v>189</v>
      </c>
      <c r="B190" s="37">
        <v>45409</v>
      </c>
      <c r="C190">
        <v>74</v>
      </c>
      <c r="D190" t="s">
        <v>26</v>
      </c>
      <c r="E190" t="s">
        <v>74</v>
      </c>
      <c r="F190">
        <v>57</v>
      </c>
      <c r="G190" t="s">
        <v>59</v>
      </c>
      <c r="H190" t="s">
        <v>33</v>
      </c>
      <c r="I190">
        <v>23</v>
      </c>
      <c r="J190" t="s">
        <v>18</v>
      </c>
      <c r="K190" t="s">
        <v>19</v>
      </c>
      <c r="L190">
        <v>195.22</v>
      </c>
      <c r="M190">
        <v>5</v>
      </c>
      <c r="N190">
        <v>976.1</v>
      </c>
    </row>
    <row r="191" spans="1:14" x14ac:dyDescent="0.3">
      <c r="A191">
        <v>190</v>
      </c>
      <c r="B191" s="37">
        <v>45522</v>
      </c>
      <c r="C191">
        <v>59</v>
      </c>
      <c r="D191" t="s">
        <v>26</v>
      </c>
      <c r="E191" t="s">
        <v>44</v>
      </c>
      <c r="F191">
        <v>52</v>
      </c>
      <c r="G191" t="s">
        <v>59</v>
      </c>
      <c r="H191" t="s">
        <v>33</v>
      </c>
      <c r="I191">
        <v>8</v>
      </c>
      <c r="J191" t="s">
        <v>78</v>
      </c>
      <c r="K191" t="s">
        <v>71</v>
      </c>
      <c r="L191">
        <v>1081.74</v>
      </c>
      <c r="M191">
        <v>6</v>
      </c>
      <c r="N191">
        <v>6490.44</v>
      </c>
    </row>
    <row r="192" spans="1:14" x14ac:dyDescent="0.3">
      <c r="A192">
        <v>191</v>
      </c>
      <c r="B192" s="37">
        <v>45444</v>
      </c>
      <c r="C192">
        <v>47</v>
      </c>
      <c r="D192" t="s">
        <v>79</v>
      </c>
      <c r="E192" t="s">
        <v>31</v>
      </c>
      <c r="F192">
        <v>18</v>
      </c>
      <c r="G192" t="s">
        <v>49</v>
      </c>
      <c r="H192" t="s">
        <v>50</v>
      </c>
      <c r="I192">
        <v>11</v>
      </c>
      <c r="J192" t="s">
        <v>55</v>
      </c>
      <c r="K192" t="s">
        <v>38</v>
      </c>
      <c r="L192">
        <v>234.14</v>
      </c>
      <c r="M192">
        <v>3</v>
      </c>
      <c r="N192">
        <v>702.42</v>
      </c>
    </row>
    <row r="193" spans="1:14" x14ac:dyDescent="0.3">
      <c r="A193">
        <v>192</v>
      </c>
      <c r="B193" s="37">
        <v>45437</v>
      </c>
      <c r="C193">
        <v>8</v>
      </c>
      <c r="D193" t="s">
        <v>56</v>
      </c>
      <c r="E193" t="s">
        <v>57</v>
      </c>
      <c r="F193">
        <v>31</v>
      </c>
      <c r="G193" t="s">
        <v>16</v>
      </c>
      <c r="H193" t="s">
        <v>17</v>
      </c>
      <c r="I193">
        <v>16</v>
      </c>
      <c r="J193" t="s">
        <v>64</v>
      </c>
      <c r="K193" t="s">
        <v>43</v>
      </c>
      <c r="L193">
        <v>1170.95</v>
      </c>
      <c r="M193">
        <v>1</v>
      </c>
      <c r="N193">
        <v>1170.95</v>
      </c>
    </row>
    <row r="194" spans="1:14" x14ac:dyDescent="0.3">
      <c r="A194">
        <v>193</v>
      </c>
      <c r="B194" s="37">
        <v>45353</v>
      </c>
      <c r="C194">
        <v>14</v>
      </c>
      <c r="D194" t="s">
        <v>30</v>
      </c>
      <c r="E194" t="s">
        <v>31</v>
      </c>
      <c r="F194">
        <v>67</v>
      </c>
      <c r="G194" t="s">
        <v>32</v>
      </c>
      <c r="H194" t="s">
        <v>33</v>
      </c>
      <c r="I194">
        <v>14</v>
      </c>
      <c r="J194" t="s">
        <v>81</v>
      </c>
      <c r="K194" t="s">
        <v>38</v>
      </c>
      <c r="L194">
        <v>1292.75</v>
      </c>
      <c r="M194">
        <v>2</v>
      </c>
      <c r="N194">
        <v>2585.5</v>
      </c>
    </row>
    <row r="195" spans="1:14" x14ac:dyDescent="0.3">
      <c r="A195">
        <v>194</v>
      </c>
      <c r="B195" s="37">
        <v>45606</v>
      </c>
      <c r="C195">
        <v>97</v>
      </c>
      <c r="D195" t="s">
        <v>56</v>
      </c>
      <c r="E195" t="s">
        <v>57</v>
      </c>
      <c r="F195">
        <v>68</v>
      </c>
      <c r="G195" t="s">
        <v>49</v>
      </c>
      <c r="H195" t="s">
        <v>50</v>
      </c>
      <c r="I195">
        <v>16</v>
      </c>
      <c r="J195" t="s">
        <v>64</v>
      </c>
      <c r="K195" t="s">
        <v>43</v>
      </c>
      <c r="L195">
        <v>1170.95</v>
      </c>
      <c r="M195">
        <v>5</v>
      </c>
      <c r="N195">
        <v>5854.75</v>
      </c>
    </row>
    <row r="196" spans="1:14" x14ac:dyDescent="0.3">
      <c r="A196">
        <v>195</v>
      </c>
      <c r="B196" s="37">
        <v>45874</v>
      </c>
      <c r="C196">
        <v>110</v>
      </c>
      <c r="D196" t="s">
        <v>46</v>
      </c>
      <c r="E196" t="s">
        <v>36</v>
      </c>
      <c r="F196">
        <v>50</v>
      </c>
      <c r="G196" t="s">
        <v>59</v>
      </c>
      <c r="H196" t="s">
        <v>98</v>
      </c>
      <c r="I196">
        <v>5</v>
      </c>
      <c r="J196" t="s">
        <v>82</v>
      </c>
      <c r="K196" t="s">
        <v>97</v>
      </c>
      <c r="L196">
        <v>691.29</v>
      </c>
      <c r="M196">
        <v>3</v>
      </c>
      <c r="N196">
        <v>2073.87</v>
      </c>
    </row>
    <row r="197" spans="1:14" x14ac:dyDescent="0.3">
      <c r="A197">
        <v>196</v>
      </c>
      <c r="B197" s="37">
        <v>45741</v>
      </c>
      <c r="C197">
        <v>69</v>
      </c>
      <c r="D197" t="s">
        <v>63</v>
      </c>
      <c r="E197" t="s">
        <v>27</v>
      </c>
      <c r="F197">
        <v>54</v>
      </c>
      <c r="G197" t="s">
        <v>49</v>
      </c>
      <c r="H197" t="s">
        <v>50</v>
      </c>
      <c r="I197">
        <v>16</v>
      </c>
      <c r="J197" t="s">
        <v>64</v>
      </c>
      <c r="K197" t="s">
        <v>43</v>
      </c>
      <c r="L197">
        <v>1170.95</v>
      </c>
      <c r="M197">
        <v>1</v>
      </c>
      <c r="N197">
        <v>1170.95</v>
      </c>
    </row>
    <row r="198" spans="1:14" x14ac:dyDescent="0.3">
      <c r="A198">
        <v>197</v>
      </c>
      <c r="B198" s="37">
        <v>45771</v>
      </c>
      <c r="C198">
        <v>22</v>
      </c>
      <c r="D198" t="s">
        <v>56</v>
      </c>
      <c r="E198" t="s">
        <v>27</v>
      </c>
      <c r="F198">
        <v>31</v>
      </c>
      <c r="G198" t="s">
        <v>32</v>
      </c>
      <c r="H198" t="s">
        <v>33</v>
      </c>
      <c r="I198">
        <v>29</v>
      </c>
      <c r="J198" t="s">
        <v>65</v>
      </c>
      <c r="K198" t="s">
        <v>25</v>
      </c>
      <c r="L198">
        <v>1136.55</v>
      </c>
      <c r="M198">
        <v>6</v>
      </c>
      <c r="N198">
        <v>6819.3</v>
      </c>
    </row>
    <row r="199" spans="1:14" x14ac:dyDescent="0.3">
      <c r="A199">
        <v>198</v>
      </c>
      <c r="B199" s="37">
        <v>45603</v>
      </c>
      <c r="C199">
        <v>58</v>
      </c>
      <c r="D199" t="s">
        <v>35</v>
      </c>
      <c r="E199" t="s">
        <v>27</v>
      </c>
      <c r="F199">
        <v>46</v>
      </c>
      <c r="G199" t="s">
        <v>52</v>
      </c>
      <c r="H199" t="s">
        <v>53</v>
      </c>
      <c r="I199">
        <v>4</v>
      </c>
      <c r="J199" t="s">
        <v>48</v>
      </c>
      <c r="K199" t="s">
        <v>29</v>
      </c>
      <c r="L199">
        <v>1156.21</v>
      </c>
      <c r="M199">
        <v>6</v>
      </c>
      <c r="N199">
        <v>6937.26</v>
      </c>
    </row>
    <row r="200" spans="1:14" x14ac:dyDescent="0.3">
      <c r="A200">
        <v>199</v>
      </c>
      <c r="B200" s="37">
        <v>45704</v>
      </c>
      <c r="C200">
        <v>24</v>
      </c>
      <c r="D200" t="s">
        <v>72</v>
      </c>
      <c r="E200" t="s">
        <v>36</v>
      </c>
      <c r="F200">
        <v>26</v>
      </c>
      <c r="G200" t="s">
        <v>52</v>
      </c>
      <c r="H200" t="s">
        <v>53</v>
      </c>
      <c r="I200">
        <v>8</v>
      </c>
      <c r="J200" t="s">
        <v>78</v>
      </c>
      <c r="K200" t="s">
        <v>71</v>
      </c>
      <c r="L200">
        <v>1081.74</v>
      </c>
      <c r="M200">
        <v>3</v>
      </c>
      <c r="N200">
        <v>3245.22</v>
      </c>
    </row>
    <row r="201" spans="1:14" x14ac:dyDescent="0.3">
      <c r="A201">
        <v>200</v>
      </c>
      <c r="B201" s="37">
        <v>45804</v>
      </c>
      <c r="C201">
        <v>83</v>
      </c>
      <c r="D201" t="s">
        <v>20</v>
      </c>
      <c r="E201" t="s">
        <v>74</v>
      </c>
      <c r="F201">
        <v>34</v>
      </c>
      <c r="G201" t="s">
        <v>22</v>
      </c>
      <c r="H201" t="s">
        <v>23</v>
      </c>
      <c r="I201">
        <v>10</v>
      </c>
      <c r="J201" t="s">
        <v>70</v>
      </c>
      <c r="K201" t="s">
        <v>71</v>
      </c>
      <c r="L201">
        <v>608.48</v>
      </c>
      <c r="M201">
        <v>5</v>
      </c>
      <c r="N201">
        <v>3042.4</v>
      </c>
    </row>
    <row r="202" spans="1:14" x14ac:dyDescent="0.3">
      <c r="A202">
        <v>201</v>
      </c>
      <c r="B202" s="37">
        <v>45797</v>
      </c>
      <c r="C202">
        <v>56</v>
      </c>
      <c r="D202" t="s">
        <v>35</v>
      </c>
      <c r="E202" t="s">
        <v>31</v>
      </c>
      <c r="F202">
        <v>30</v>
      </c>
      <c r="G202" t="s">
        <v>59</v>
      </c>
      <c r="H202" t="s">
        <v>33</v>
      </c>
      <c r="I202">
        <v>27</v>
      </c>
      <c r="J202" t="s">
        <v>24</v>
      </c>
      <c r="K202" t="s">
        <v>25</v>
      </c>
      <c r="L202">
        <v>845</v>
      </c>
      <c r="M202">
        <v>4</v>
      </c>
      <c r="N202">
        <v>3380</v>
      </c>
    </row>
    <row r="203" spans="1:14" x14ac:dyDescent="0.3">
      <c r="A203">
        <v>202</v>
      </c>
      <c r="B203" s="37">
        <v>45374</v>
      </c>
      <c r="C203">
        <v>96</v>
      </c>
      <c r="D203" t="s">
        <v>14</v>
      </c>
      <c r="E203" t="s">
        <v>15</v>
      </c>
      <c r="F203">
        <v>69</v>
      </c>
      <c r="G203" t="s">
        <v>16</v>
      </c>
      <c r="H203" t="s">
        <v>17</v>
      </c>
      <c r="I203">
        <v>15</v>
      </c>
      <c r="J203" t="s">
        <v>67</v>
      </c>
      <c r="K203" t="s">
        <v>38</v>
      </c>
      <c r="L203">
        <v>1329.92</v>
      </c>
      <c r="M203">
        <v>5</v>
      </c>
      <c r="N203">
        <v>6649.6</v>
      </c>
    </row>
    <row r="204" spans="1:14" x14ac:dyDescent="0.3">
      <c r="A204">
        <v>203</v>
      </c>
      <c r="B204" s="37">
        <v>45332</v>
      </c>
      <c r="C204">
        <v>106</v>
      </c>
      <c r="D204" t="s">
        <v>63</v>
      </c>
      <c r="E204" t="s">
        <v>21</v>
      </c>
      <c r="F204">
        <v>30</v>
      </c>
      <c r="G204" t="s">
        <v>59</v>
      </c>
      <c r="H204" t="s">
        <v>33</v>
      </c>
      <c r="I204">
        <v>23</v>
      </c>
      <c r="J204" t="s">
        <v>18</v>
      </c>
      <c r="K204" t="s">
        <v>19</v>
      </c>
      <c r="L204">
        <v>195.22</v>
      </c>
      <c r="M204">
        <v>4</v>
      </c>
      <c r="N204">
        <v>780.88</v>
      </c>
    </row>
    <row r="205" spans="1:14" x14ac:dyDescent="0.3">
      <c r="A205">
        <v>204</v>
      </c>
      <c r="B205" s="37">
        <v>45622</v>
      </c>
      <c r="C205">
        <v>51</v>
      </c>
      <c r="D205" t="s">
        <v>35</v>
      </c>
      <c r="E205" t="s">
        <v>74</v>
      </c>
      <c r="F205">
        <v>69</v>
      </c>
      <c r="G205" t="s">
        <v>52</v>
      </c>
      <c r="H205" t="s">
        <v>53</v>
      </c>
      <c r="I205">
        <v>22</v>
      </c>
      <c r="J205" t="s">
        <v>85</v>
      </c>
      <c r="K205" t="s">
        <v>19</v>
      </c>
      <c r="L205">
        <v>1377.44</v>
      </c>
      <c r="M205">
        <v>5</v>
      </c>
      <c r="N205">
        <v>6887.2</v>
      </c>
    </row>
    <row r="206" spans="1:14" x14ac:dyDescent="0.3">
      <c r="A206">
        <v>205</v>
      </c>
      <c r="B206" s="37">
        <v>45548</v>
      </c>
      <c r="C206">
        <v>82</v>
      </c>
      <c r="D206" t="s">
        <v>35</v>
      </c>
      <c r="E206" t="s">
        <v>44</v>
      </c>
      <c r="F206">
        <v>58</v>
      </c>
      <c r="G206" t="s">
        <v>16</v>
      </c>
      <c r="H206" t="s">
        <v>17</v>
      </c>
      <c r="I206">
        <v>27</v>
      </c>
      <c r="J206" t="s">
        <v>24</v>
      </c>
      <c r="K206" t="s">
        <v>25</v>
      </c>
      <c r="L206">
        <v>845</v>
      </c>
      <c r="M206">
        <v>1</v>
      </c>
      <c r="N206">
        <v>845</v>
      </c>
    </row>
    <row r="207" spans="1:14" x14ac:dyDescent="0.3">
      <c r="A207">
        <v>206</v>
      </c>
      <c r="B207" s="37">
        <v>45385</v>
      </c>
      <c r="C207">
        <v>78</v>
      </c>
      <c r="D207" t="s">
        <v>79</v>
      </c>
      <c r="E207" t="s">
        <v>44</v>
      </c>
      <c r="F207">
        <v>51</v>
      </c>
      <c r="G207" t="s">
        <v>22</v>
      </c>
      <c r="H207" t="s">
        <v>23</v>
      </c>
      <c r="I207">
        <v>4</v>
      </c>
      <c r="J207" t="s">
        <v>48</v>
      </c>
      <c r="K207" t="s">
        <v>29</v>
      </c>
      <c r="L207">
        <v>1156.21</v>
      </c>
      <c r="M207">
        <v>2</v>
      </c>
      <c r="N207">
        <v>2312.42</v>
      </c>
    </row>
    <row r="208" spans="1:14" x14ac:dyDescent="0.3">
      <c r="A208">
        <v>207</v>
      </c>
      <c r="B208" s="37">
        <v>45982</v>
      </c>
      <c r="C208">
        <v>6</v>
      </c>
      <c r="D208" t="s">
        <v>35</v>
      </c>
      <c r="E208" t="s">
        <v>74</v>
      </c>
      <c r="F208">
        <v>55</v>
      </c>
      <c r="G208" t="s">
        <v>32</v>
      </c>
      <c r="H208" t="s">
        <v>33</v>
      </c>
      <c r="I208">
        <v>19</v>
      </c>
      <c r="J208" t="s">
        <v>84</v>
      </c>
      <c r="K208" t="s">
        <v>43</v>
      </c>
      <c r="L208">
        <v>1048.43</v>
      </c>
      <c r="M208">
        <v>5</v>
      </c>
      <c r="N208">
        <v>5242.1499999999996</v>
      </c>
    </row>
    <row r="209" spans="1:14" x14ac:dyDescent="0.3">
      <c r="A209">
        <v>208</v>
      </c>
      <c r="B209" s="37">
        <v>45893</v>
      </c>
      <c r="C209">
        <v>76</v>
      </c>
      <c r="D209" t="s">
        <v>72</v>
      </c>
      <c r="E209" t="s">
        <v>47</v>
      </c>
      <c r="F209">
        <v>22</v>
      </c>
      <c r="G209" t="s">
        <v>22</v>
      </c>
      <c r="H209" t="s">
        <v>23</v>
      </c>
      <c r="I209">
        <v>5</v>
      </c>
      <c r="J209" t="s">
        <v>82</v>
      </c>
      <c r="K209" t="s">
        <v>29</v>
      </c>
      <c r="L209">
        <v>691.29</v>
      </c>
      <c r="M209">
        <v>1</v>
      </c>
      <c r="N209">
        <v>691.29</v>
      </c>
    </row>
    <row r="210" spans="1:14" x14ac:dyDescent="0.3">
      <c r="A210">
        <v>209</v>
      </c>
      <c r="B210" s="37">
        <v>45980</v>
      </c>
      <c r="C210">
        <v>55</v>
      </c>
      <c r="D210" t="s">
        <v>63</v>
      </c>
      <c r="E210" t="s">
        <v>41</v>
      </c>
      <c r="F210">
        <v>39</v>
      </c>
      <c r="G210" t="s">
        <v>32</v>
      </c>
      <c r="H210" t="s">
        <v>33</v>
      </c>
      <c r="I210">
        <v>22</v>
      </c>
      <c r="J210" t="s">
        <v>85</v>
      </c>
      <c r="K210" t="s">
        <v>19</v>
      </c>
      <c r="L210">
        <v>1377.44</v>
      </c>
      <c r="M210">
        <v>3</v>
      </c>
      <c r="N210">
        <v>4132.32</v>
      </c>
    </row>
    <row r="211" spans="1:14" x14ac:dyDescent="0.3">
      <c r="A211">
        <v>210</v>
      </c>
      <c r="B211" s="37">
        <v>45882</v>
      </c>
      <c r="C211">
        <v>100</v>
      </c>
      <c r="D211" t="s">
        <v>35</v>
      </c>
      <c r="E211" t="s">
        <v>62</v>
      </c>
      <c r="F211">
        <v>60</v>
      </c>
      <c r="G211" t="s">
        <v>49</v>
      </c>
      <c r="H211" t="s">
        <v>50</v>
      </c>
      <c r="I211">
        <v>25</v>
      </c>
      <c r="J211" t="s">
        <v>61</v>
      </c>
      <c r="K211" t="s">
        <v>19</v>
      </c>
      <c r="L211">
        <v>705</v>
      </c>
      <c r="M211">
        <v>1</v>
      </c>
      <c r="N211">
        <v>705</v>
      </c>
    </row>
    <row r="212" spans="1:14" x14ac:dyDescent="0.3">
      <c r="A212">
        <v>211</v>
      </c>
      <c r="B212" s="37">
        <v>45471</v>
      </c>
      <c r="C212">
        <v>25</v>
      </c>
      <c r="D212" t="s">
        <v>46</v>
      </c>
      <c r="E212" t="s">
        <v>21</v>
      </c>
      <c r="F212">
        <v>45</v>
      </c>
      <c r="G212" t="s">
        <v>22</v>
      </c>
      <c r="H212" t="s">
        <v>23</v>
      </c>
      <c r="I212">
        <v>6</v>
      </c>
      <c r="J212" t="s">
        <v>86</v>
      </c>
      <c r="K212" t="s">
        <v>71</v>
      </c>
      <c r="L212">
        <v>1330.91</v>
      </c>
      <c r="M212">
        <v>4</v>
      </c>
      <c r="N212">
        <v>5323.64</v>
      </c>
    </row>
    <row r="213" spans="1:14" x14ac:dyDescent="0.3">
      <c r="A213">
        <v>212</v>
      </c>
      <c r="B213" s="37">
        <v>45823</v>
      </c>
      <c r="C213">
        <v>73</v>
      </c>
      <c r="D213" t="s">
        <v>75</v>
      </c>
      <c r="E213" t="s">
        <v>47</v>
      </c>
      <c r="F213">
        <v>66</v>
      </c>
      <c r="G213" t="s">
        <v>22</v>
      </c>
      <c r="H213" t="s">
        <v>23</v>
      </c>
      <c r="I213">
        <v>11</v>
      </c>
      <c r="J213" t="s">
        <v>55</v>
      </c>
      <c r="K213" t="s">
        <v>38</v>
      </c>
      <c r="L213">
        <v>234.14</v>
      </c>
      <c r="M213">
        <v>6</v>
      </c>
      <c r="N213">
        <v>1404.84</v>
      </c>
    </row>
    <row r="214" spans="1:14" x14ac:dyDescent="0.3">
      <c r="A214">
        <v>213</v>
      </c>
      <c r="B214" s="37">
        <v>45744</v>
      </c>
      <c r="C214">
        <v>96</v>
      </c>
      <c r="D214" t="s">
        <v>14</v>
      </c>
      <c r="E214" t="s">
        <v>15</v>
      </c>
      <c r="F214">
        <v>69</v>
      </c>
      <c r="G214" t="s">
        <v>16</v>
      </c>
      <c r="H214" t="s">
        <v>17</v>
      </c>
      <c r="I214">
        <v>14</v>
      </c>
      <c r="J214" t="s">
        <v>81</v>
      </c>
      <c r="K214" t="s">
        <v>38</v>
      </c>
      <c r="L214">
        <v>-1292.75</v>
      </c>
      <c r="M214">
        <v>3</v>
      </c>
      <c r="N214">
        <v>3878.25</v>
      </c>
    </row>
    <row r="215" spans="1:14" x14ac:dyDescent="0.3">
      <c r="A215">
        <v>214</v>
      </c>
      <c r="B215" s="37">
        <v>45477</v>
      </c>
      <c r="C215">
        <v>115</v>
      </c>
      <c r="D215" t="s">
        <v>35</v>
      </c>
      <c r="E215" t="s">
        <v>15</v>
      </c>
      <c r="F215">
        <v>68</v>
      </c>
      <c r="G215" t="s">
        <v>22</v>
      </c>
      <c r="H215" t="s">
        <v>23</v>
      </c>
      <c r="I215">
        <v>16</v>
      </c>
      <c r="J215" t="s">
        <v>64</v>
      </c>
      <c r="K215" t="s">
        <v>43</v>
      </c>
      <c r="L215">
        <v>1170.95</v>
      </c>
      <c r="M215">
        <v>5</v>
      </c>
      <c r="N215">
        <v>5854.75</v>
      </c>
    </row>
    <row r="216" spans="1:14" x14ac:dyDescent="0.3">
      <c r="A216">
        <v>215</v>
      </c>
      <c r="B216" s="37">
        <v>45738</v>
      </c>
      <c r="C216">
        <v>11</v>
      </c>
      <c r="D216" t="s">
        <v>46</v>
      </c>
      <c r="E216" t="s">
        <v>74</v>
      </c>
      <c r="F216">
        <v>52</v>
      </c>
      <c r="G216" t="s">
        <v>32</v>
      </c>
      <c r="H216" t="s">
        <v>33</v>
      </c>
      <c r="I216">
        <v>8</v>
      </c>
      <c r="J216" t="s">
        <v>78</v>
      </c>
      <c r="K216" t="s">
        <v>71</v>
      </c>
      <c r="L216">
        <v>1081.74</v>
      </c>
      <c r="M216">
        <v>6</v>
      </c>
      <c r="N216">
        <v>6490.44</v>
      </c>
    </row>
    <row r="217" spans="1:14" x14ac:dyDescent="0.3">
      <c r="A217">
        <v>216</v>
      </c>
      <c r="B217" s="37">
        <v>45795</v>
      </c>
      <c r="C217">
        <v>15</v>
      </c>
      <c r="D217" t="s">
        <v>83</v>
      </c>
      <c r="E217" t="s">
        <v>31</v>
      </c>
      <c r="F217">
        <v>24</v>
      </c>
      <c r="G217" t="s">
        <v>59</v>
      </c>
      <c r="H217" t="s">
        <v>33</v>
      </c>
      <c r="I217">
        <v>14</v>
      </c>
      <c r="J217" t="s">
        <v>81</v>
      </c>
      <c r="K217" t="s">
        <v>38</v>
      </c>
      <c r="L217">
        <v>1292.75</v>
      </c>
      <c r="M217">
        <v>1</v>
      </c>
      <c r="N217">
        <v>1292.75</v>
      </c>
    </row>
    <row r="218" spans="1:14" x14ac:dyDescent="0.3">
      <c r="A218">
        <v>217</v>
      </c>
      <c r="B218" s="37">
        <v>45773</v>
      </c>
      <c r="C218">
        <v>23</v>
      </c>
      <c r="D218" t="s">
        <v>35</v>
      </c>
      <c r="E218" t="s">
        <v>44</v>
      </c>
      <c r="F218">
        <v>49</v>
      </c>
      <c r="G218" t="s">
        <v>16</v>
      </c>
      <c r="H218" t="s">
        <v>17</v>
      </c>
      <c r="I218">
        <v>21</v>
      </c>
      <c r="J218" t="s">
        <v>66</v>
      </c>
      <c r="K218" t="s">
        <v>19</v>
      </c>
      <c r="L218">
        <v>842.75</v>
      </c>
      <c r="M218">
        <v>3</v>
      </c>
      <c r="N218">
        <v>2528.25</v>
      </c>
    </row>
    <row r="219" spans="1:14" x14ac:dyDescent="0.3">
      <c r="A219">
        <v>218</v>
      </c>
      <c r="B219" s="37">
        <v>45710</v>
      </c>
      <c r="C219">
        <v>58</v>
      </c>
      <c r="D219" t="s">
        <v>35</v>
      </c>
      <c r="E219" t="s">
        <v>27</v>
      </c>
      <c r="F219">
        <v>46</v>
      </c>
      <c r="G219" t="s">
        <v>52</v>
      </c>
      <c r="H219" t="s">
        <v>53</v>
      </c>
      <c r="I219">
        <v>19</v>
      </c>
      <c r="J219" t="s">
        <v>84</v>
      </c>
      <c r="K219" t="s">
        <v>43</v>
      </c>
      <c r="L219">
        <v>1048.43</v>
      </c>
      <c r="M219">
        <v>3</v>
      </c>
      <c r="N219">
        <v>3145.29</v>
      </c>
    </row>
    <row r="220" spans="1:14" x14ac:dyDescent="0.3">
      <c r="A220">
        <v>219</v>
      </c>
      <c r="B220" s="37">
        <v>45620</v>
      </c>
      <c r="C220">
        <v>68</v>
      </c>
      <c r="D220" t="s">
        <v>39</v>
      </c>
      <c r="E220" t="s">
        <v>21</v>
      </c>
      <c r="F220">
        <v>22</v>
      </c>
      <c r="G220" t="s">
        <v>52</v>
      </c>
      <c r="H220" t="s">
        <v>53</v>
      </c>
      <c r="I220">
        <v>29</v>
      </c>
      <c r="J220" t="s">
        <v>65</v>
      </c>
      <c r="K220" t="s">
        <v>25</v>
      </c>
      <c r="L220">
        <v>1136.55</v>
      </c>
      <c r="M220">
        <v>6</v>
      </c>
      <c r="N220">
        <v>6819.3</v>
      </c>
    </row>
    <row r="221" spans="1:14" x14ac:dyDescent="0.3">
      <c r="A221">
        <v>220</v>
      </c>
      <c r="B221" s="37">
        <v>45399</v>
      </c>
      <c r="C221">
        <v>8</v>
      </c>
      <c r="D221" t="s">
        <v>56</v>
      </c>
      <c r="E221" t="s">
        <v>57</v>
      </c>
      <c r="F221">
        <v>31</v>
      </c>
      <c r="G221" t="s">
        <v>16</v>
      </c>
      <c r="H221" t="s">
        <v>17</v>
      </c>
      <c r="I221">
        <v>1</v>
      </c>
      <c r="J221" t="s">
        <v>69</v>
      </c>
      <c r="K221" t="s">
        <v>29</v>
      </c>
      <c r="L221">
        <v>83.63</v>
      </c>
      <c r="M221">
        <v>2</v>
      </c>
      <c r="N221">
        <v>167.26</v>
      </c>
    </row>
    <row r="222" spans="1:14" x14ac:dyDescent="0.3">
      <c r="A222">
        <v>221</v>
      </c>
      <c r="B222" s="37">
        <v>45629</v>
      </c>
      <c r="C222">
        <v>70</v>
      </c>
      <c r="D222" t="s">
        <v>79</v>
      </c>
      <c r="E222" t="s">
        <v>27</v>
      </c>
      <c r="F222">
        <v>44</v>
      </c>
      <c r="G222" t="s">
        <v>32</v>
      </c>
      <c r="H222" t="s">
        <v>33</v>
      </c>
      <c r="I222">
        <v>19</v>
      </c>
      <c r="J222" t="s">
        <v>84</v>
      </c>
      <c r="K222" t="s">
        <v>43</v>
      </c>
      <c r="L222">
        <v>1048.43</v>
      </c>
      <c r="M222">
        <v>4</v>
      </c>
      <c r="N222">
        <v>4193.72</v>
      </c>
    </row>
    <row r="223" spans="1:14" x14ac:dyDescent="0.3">
      <c r="A223">
        <v>222</v>
      </c>
      <c r="B223" s="37">
        <v>46002</v>
      </c>
      <c r="C223">
        <v>12</v>
      </c>
      <c r="D223" t="s">
        <v>39</v>
      </c>
      <c r="E223" t="s">
        <v>60</v>
      </c>
      <c r="F223">
        <v>36</v>
      </c>
      <c r="G223" t="s">
        <v>32</v>
      </c>
      <c r="H223" t="s">
        <v>33</v>
      </c>
      <c r="I223">
        <v>7</v>
      </c>
      <c r="J223" t="s">
        <v>80</v>
      </c>
      <c r="K223" t="s">
        <v>71</v>
      </c>
      <c r="L223">
        <v>869.87</v>
      </c>
      <c r="M223">
        <v>4</v>
      </c>
      <c r="N223">
        <v>3479.48</v>
      </c>
    </row>
    <row r="224" spans="1:14" x14ac:dyDescent="0.3">
      <c r="A224">
        <v>223</v>
      </c>
      <c r="B224" s="37">
        <v>45587</v>
      </c>
      <c r="C224">
        <v>115</v>
      </c>
      <c r="D224" t="s">
        <v>35</v>
      </c>
      <c r="E224" t="s">
        <v>15</v>
      </c>
      <c r="F224">
        <v>68</v>
      </c>
      <c r="G224" t="s">
        <v>22</v>
      </c>
      <c r="H224" t="s">
        <v>23</v>
      </c>
      <c r="I224">
        <v>30</v>
      </c>
      <c r="J224" t="s">
        <v>73</v>
      </c>
      <c r="K224" t="s">
        <v>25</v>
      </c>
      <c r="L224">
        <v>672.22</v>
      </c>
      <c r="M224">
        <v>6</v>
      </c>
      <c r="N224">
        <v>4033.32</v>
      </c>
    </row>
    <row r="225" spans="1:14" x14ac:dyDescent="0.3">
      <c r="A225">
        <v>224</v>
      </c>
      <c r="B225" s="37">
        <v>45702</v>
      </c>
      <c r="C225">
        <v>33</v>
      </c>
      <c r="D225" t="s">
        <v>26</v>
      </c>
      <c r="E225" t="s">
        <v>41</v>
      </c>
      <c r="F225">
        <v>64</v>
      </c>
      <c r="G225" t="s">
        <v>52</v>
      </c>
      <c r="H225" t="s">
        <v>53</v>
      </c>
      <c r="I225">
        <v>2</v>
      </c>
      <c r="J225" t="s">
        <v>34</v>
      </c>
      <c r="K225" t="s">
        <v>29</v>
      </c>
      <c r="L225">
        <v>1476.14</v>
      </c>
      <c r="M225">
        <v>5</v>
      </c>
      <c r="N225">
        <v>7380.7</v>
      </c>
    </row>
    <row r="226" spans="1:14" x14ac:dyDescent="0.3">
      <c r="A226">
        <v>225</v>
      </c>
      <c r="B226" s="37">
        <v>45329</v>
      </c>
      <c r="C226">
        <v>24</v>
      </c>
      <c r="D226" t="s">
        <v>72</v>
      </c>
      <c r="E226" t="s">
        <v>36</v>
      </c>
      <c r="F226">
        <v>26</v>
      </c>
      <c r="G226" t="s">
        <v>52</v>
      </c>
      <c r="H226" t="s">
        <v>53</v>
      </c>
      <c r="I226">
        <v>28</v>
      </c>
      <c r="J226" t="s">
        <v>77</v>
      </c>
      <c r="K226" t="s">
        <v>25</v>
      </c>
      <c r="L226">
        <v>486.19</v>
      </c>
      <c r="M226">
        <v>4</v>
      </c>
      <c r="N226">
        <v>1944.76</v>
      </c>
    </row>
    <row r="227" spans="1:14" x14ac:dyDescent="0.3">
      <c r="A227">
        <v>226</v>
      </c>
      <c r="B227" s="37">
        <v>45382</v>
      </c>
      <c r="C227">
        <v>32</v>
      </c>
      <c r="D227" t="s">
        <v>39</v>
      </c>
      <c r="E227" t="s">
        <v>36</v>
      </c>
      <c r="F227">
        <v>45</v>
      </c>
      <c r="G227" t="s">
        <v>16</v>
      </c>
      <c r="H227" t="s">
        <v>17</v>
      </c>
      <c r="I227">
        <v>27</v>
      </c>
      <c r="J227" t="s">
        <v>24</v>
      </c>
      <c r="K227" t="s">
        <v>25</v>
      </c>
      <c r="L227">
        <v>845</v>
      </c>
      <c r="M227">
        <v>3</v>
      </c>
      <c r="N227">
        <v>2535</v>
      </c>
    </row>
    <row r="228" spans="1:14" x14ac:dyDescent="0.3">
      <c r="A228">
        <v>227</v>
      </c>
      <c r="B228" s="37">
        <v>45550</v>
      </c>
      <c r="C228">
        <v>92</v>
      </c>
      <c r="D228" t="s">
        <v>30</v>
      </c>
      <c r="E228" t="s">
        <v>27</v>
      </c>
      <c r="F228">
        <v>40</v>
      </c>
      <c r="G228" t="s">
        <v>49</v>
      </c>
      <c r="H228" t="s">
        <v>50</v>
      </c>
      <c r="I228">
        <v>19</v>
      </c>
      <c r="J228" t="s">
        <v>84</v>
      </c>
      <c r="K228" t="s">
        <v>43</v>
      </c>
      <c r="L228">
        <v>1048.43</v>
      </c>
      <c r="M228">
        <v>3</v>
      </c>
      <c r="N228">
        <v>3145.29</v>
      </c>
    </row>
    <row r="229" spans="1:14" x14ac:dyDescent="0.3">
      <c r="A229">
        <v>228</v>
      </c>
      <c r="B229" s="37">
        <v>45410</v>
      </c>
      <c r="C229">
        <v>30</v>
      </c>
      <c r="D229" t="s">
        <v>20</v>
      </c>
      <c r="E229" t="s">
        <v>62</v>
      </c>
      <c r="F229">
        <v>61</v>
      </c>
      <c r="G229" t="s">
        <v>22</v>
      </c>
      <c r="H229" t="s">
        <v>23</v>
      </c>
      <c r="I229">
        <v>18</v>
      </c>
      <c r="J229" t="s">
        <v>68</v>
      </c>
      <c r="K229" t="s">
        <v>43</v>
      </c>
      <c r="L229">
        <v>1209.0999999999999</v>
      </c>
      <c r="M229">
        <v>4</v>
      </c>
      <c r="N229">
        <v>4836.3999999999996</v>
      </c>
    </row>
    <row r="230" spans="1:14" x14ac:dyDescent="0.3">
      <c r="A230">
        <v>229</v>
      </c>
      <c r="B230" s="37">
        <v>45818</v>
      </c>
      <c r="C230">
        <v>68</v>
      </c>
      <c r="D230" t="s">
        <v>39</v>
      </c>
      <c r="E230" t="s">
        <v>21</v>
      </c>
      <c r="F230">
        <v>22</v>
      </c>
      <c r="G230" t="s">
        <v>52</v>
      </c>
      <c r="H230" t="s">
        <v>53</v>
      </c>
      <c r="I230">
        <v>28</v>
      </c>
      <c r="J230" t="s">
        <v>77</v>
      </c>
      <c r="K230" t="s">
        <v>25</v>
      </c>
      <c r="L230">
        <v>486.19</v>
      </c>
      <c r="M230">
        <v>1</v>
      </c>
      <c r="N230">
        <v>486.19</v>
      </c>
    </row>
    <row r="231" spans="1:14" x14ac:dyDescent="0.3">
      <c r="A231">
        <v>230</v>
      </c>
      <c r="B231" s="37">
        <v>45965</v>
      </c>
      <c r="C231">
        <v>34</v>
      </c>
      <c r="D231" t="s">
        <v>20</v>
      </c>
      <c r="E231" t="s">
        <v>27</v>
      </c>
      <c r="F231">
        <v>58</v>
      </c>
      <c r="G231" t="s">
        <v>52</v>
      </c>
      <c r="H231" t="s">
        <v>53</v>
      </c>
      <c r="I231">
        <v>17</v>
      </c>
      <c r="J231" t="s">
        <v>42</v>
      </c>
      <c r="K231" t="s">
        <v>43</v>
      </c>
      <c r="L231">
        <v>339.98</v>
      </c>
      <c r="M231">
        <v>5</v>
      </c>
      <c r="N231">
        <v>1699.9</v>
      </c>
    </row>
    <row r="232" spans="1:14" x14ac:dyDescent="0.3">
      <c r="A232">
        <v>231</v>
      </c>
      <c r="B232" s="37">
        <v>45765</v>
      </c>
      <c r="C232">
        <v>94</v>
      </c>
      <c r="D232" t="s">
        <v>83</v>
      </c>
      <c r="E232" t="s">
        <v>57</v>
      </c>
      <c r="F232">
        <v>69</v>
      </c>
      <c r="G232" t="s">
        <v>49</v>
      </c>
      <c r="H232" t="s">
        <v>50</v>
      </c>
      <c r="I232">
        <v>14</v>
      </c>
      <c r="J232" t="s">
        <v>81</v>
      </c>
      <c r="K232" t="s">
        <v>38</v>
      </c>
      <c r="L232">
        <v>1292.75</v>
      </c>
      <c r="M232">
        <v>4</v>
      </c>
      <c r="N232">
        <v>5171</v>
      </c>
    </row>
    <row r="233" spans="1:14" x14ac:dyDescent="0.3">
      <c r="A233">
        <v>232</v>
      </c>
      <c r="B233" s="37">
        <v>45347</v>
      </c>
      <c r="C233">
        <v>53</v>
      </c>
      <c r="D233" t="s">
        <v>63</v>
      </c>
      <c r="E233" t="s">
        <v>15</v>
      </c>
      <c r="F233">
        <v>47</v>
      </c>
      <c r="G233" t="s">
        <v>16</v>
      </c>
      <c r="H233" t="s">
        <v>17</v>
      </c>
      <c r="I233">
        <v>28</v>
      </c>
      <c r="J233" t="s">
        <v>77</v>
      </c>
      <c r="K233" t="s">
        <v>25</v>
      </c>
      <c r="L233">
        <v>486.19</v>
      </c>
      <c r="M233">
        <v>2</v>
      </c>
      <c r="N233">
        <v>972.38</v>
      </c>
    </row>
    <row r="234" spans="1:14" x14ac:dyDescent="0.3">
      <c r="A234">
        <v>233</v>
      </c>
      <c r="B234" s="37">
        <v>45822</v>
      </c>
      <c r="C234">
        <v>106</v>
      </c>
      <c r="D234" t="s">
        <v>63</v>
      </c>
      <c r="E234" t="s">
        <v>21</v>
      </c>
      <c r="F234">
        <v>30</v>
      </c>
      <c r="G234" t="s">
        <v>59</v>
      </c>
      <c r="H234" t="s">
        <v>33</v>
      </c>
      <c r="I234">
        <v>18</v>
      </c>
      <c r="J234" t="s">
        <v>68</v>
      </c>
      <c r="K234" t="s">
        <v>43</v>
      </c>
      <c r="L234">
        <v>1209.0999999999999</v>
      </c>
      <c r="M234">
        <v>3</v>
      </c>
      <c r="N234">
        <v>3627.3</v>
      </c>
    </row>
    <row r="235" spans="1:14" x14ac:dyDescent="0.3">
      <c r="A235">
        <v>234</v>
      </c>
      <c r="B235" s="37">
        <v>45929</v>
      </c>
      <c r="C235">
        <v>82</v>
      </c>
      <c r="D235" t="s">
        <v>35</v>
      </c>
      <c r="E235" t="s">
        <v>44</v>
      </c>
      <c r="F235">
        <v>58</v>
      </c>
      <c r="G235" t="s">
        <v>16</v>
      </c>
      <c r="H235" t="s">
        <v>17</v>
      </c>
      <c r="I235">
        <v>8</v>
      </c>
      <c r="J235" t="s">
        <v>78</v>
      </c>
      <c r="K235" t="s">
        <v>71</v>
      </c>
      <c r="L235">
        <v>1081.74</v>
      </c>
      <c r="M235">
        <v>4</v>
      </c>
      <c r="N235">
        <v>4326.96</v>
      </c>
    </row>
    <row r="236" spans="1:14" x14ac:dyDescent="0.3">
      <c r="A236">
        <v>235</v>
      </c>
      <c r="B236" s="37">
        <v>45932</v>
      </c>
      <c r="C236">
        <v>44</v>
      </c>
      <c r="D236" t="s">
        <v>46</v>
      </c>
      <c r="E236" t="s">
        <v>36</v>
      </c>
      <c r="F236">
        <v>43</v>
      </c>
      <c r="G236" t="s">
        <v>49</v>
      </c>
      <c r="H236" t="s">
        <v>50</v>
      </c>
      <c r="I236">
        <v>2</v>
      </c>
      <c r="J236" t="s">
        <v>34</v>
      </c>
      <c r="K236" t="s">
        <v>29</v>
      </c>
      <c r="L236">
        <v>1476.14</v>
      </c>
      <c r="M236">
        <v>4</v>
      </c>
      <c r="N236">
        <v>5904.56</v>
      </c>
    </row>
    <row r="237" spans="1:14" x14ac:dyDescent="0.3">
      <c r="A237">
        <v>236</v>
      </c>
      <c r="B237" s="37">
        <v>45344</v>
      </c>
      <c r="C237">
        <v>15</v>
      </c>
      <c r="D237" t="s">
        <v>83</v>
      </c>
      <c r="E237" t="s">
        <v>31</v>
      </c>
      <c r="F237">
        <v>24</v>
      </c>
      <c r="G237" t="s">
        <v>59</v>
      </c>
      <c r="H237" t="s">
        <v>33</v>
      </c>
      <c r="I237">
        <v>22</v>
      </c>
      <c r="J237" t="s">
        <v>85</v>
      </c>
      <c r="K237" t="s">
        <v>19</v>
      </c>
      <c r="L237">
        <v>1377.44</v>
      </c>
      <c r="M237">
        <v>2</v>
      </c>
      <c r="N237">
        <v>2754.88</v>
      </c>
    </row>
    <row r="238" spans="1:14" x14ac:dyDescent="0.3">
      <c r="A238">
        <v>237</v>
      </c>
      <c r="B238" s="37">
        <v>45565</v>
      </c>
      <c r="C238">
        <v>38</v>
      </c>
      <c r="D238" t="s">
        <v>26</v>
      </c>
      <c r="E238" t="s">
        <v>31</v>
      </c>
      <c r="F238">
        <v>54</v>
      </c>
      <c r="G238" t="s">
        <v>49</v>
      </c>
      <c r="H238" t="s">
        <v>50</v>
      </c>
      <c r="I238">
        <v>20</v>
      </c>
      <c r="J238" t="s">
        <v>58</v>
      </c>
      <c r="K238" t="s">
        <v>43</v>
      </c>
      <c r="L238">
        <v>704.86</v>
      </c>
      <c r="M238">
        <v>5</v>
      </c>
      <c r="N238">
        <v>3524.3</v>
      </c>
    </row>
    <row r="239" spans="1:14" x14ac:dyDescent="0.3">
      <c r="A239">
        <v>238</v>
      </c>
      <c r="B239" s="37">
        <v>45426</v>
      </c>
      <c r="C239">
        <v>64</v>
      </c>
      <c r="D239" t="s">
        <v>72</v>
      </c>
      <c r="E239" t="s">
        <v>31</v>
      </c>
      <c r="F239">
        <v>36</v>
      </c>
      <c r="G239" t="s">
        <v>52</v>
      </c>
      <c r="H239" t="s">
        <v>53</v>
      </c>
      <c r="I239">
        <v>11</v>
      </c>
      <c r="J239" t="s">
        <v>55</v>
      </c>
      <c r="K239" t="s">
        <v>92</v>
      </c>
      <c r="L239">
        <v>234.14</v>
      </c>
      <c r="M239">
        <v>3</v>
      </c>
      <c r="N239">
        <v>702.42</v>
      </c>
    </row>
    <row r="240" spans="1:14" x14ac:dyDescent="0.3">
      <c r="A240">
        <v>239</v>
      </c>
      <c r="B240" s="37">
        <v>45740</v>
      </c>
      <c r="C240">
        <v>74</v>
      </c>
      <c r="D240" t="s">
        <v>26</v>
      </c>
      <c r="E240" t="s">
        <v>74</v>
      </c>
      <c r="F240">
        <v>57</v>
      </c>
      <c r="G240" t="s">
        <v>59</v>
      </c>
      <c r="H240" t="s">
        <v>33</v>
      </c>
      <c r="I240">
        <v>3</v>
      </c>
      <c r="J240" t="s">
        <v>28</v>
      </c>
      <c r="K240" t="s">
        <v>29</v>
      </c>
      <c r="L240">
        <v>922.74</v>
      </c>
      <c r="M240">
        <v>6</v>
      </c>
      <c r="N240">
        <v>5536.44</v>
      </c>
    </row>
    <row r="241" spans="1:14" x14ac:dyDescent="0.3">
      <c r="A241">
        <v>240</v>
      </c>
      <c r="B241" s="37">
        <v>45788</v>
      </c>
      <c r="C241">
        <v>48</v>
      </c>
      <c r="D241" t="s">
        <v>88</v>
      </c>
      <c r="E241" t="s">
        <v>27</v>
      </c>
      <c r="F241">
        <v>20</v>
      </c>
      <c r="G241" t="s">
        <v>32</v>
      </c>
      <c r="H241" t="s">
        <v>33</v>
      </c>
      <c r="I241">
        <v>9</v>
      </c>
      <c r="J241" t="s">
        <v>76</v>
      </c>
      <c r="K241" t="s">
        <v>71</v>
      </c>
      <c r="L241">
        <v>585.21</v>
      </c>
      <c r="M241">
        <v>1</v>
      </c>
      <c r="N241">
        <v>585.21</v>
      </c>
    </row>
    <row r="242" spans="1:14" x14ac:dyDescent="0.3">
      <c r="A242">
        <v>241</v>
      </c>
      <c r="B242" s="37">
        <v>45321</v>
      </c>
      <c r="C242">
        <v>61</v>
      </c>
      <c r="D242" t="s">
        <v>75</v>
      </c>
      <c r="E242" t="s">
        <v>31</v>
      </c>
      <c r="F242">
        <v>43</v>
      </c>
      <c r="G242" t="s">
        <v>52</v>
      </c>
      <c r="H242" t="s">
        <v>53</v>
      </c>
      <c r="I242">
        <v>18</v>
      </c>
      <c r="J242" t="s">
        <v>68</v>
      </c>
      <c r="K242" t="s">
        <v>43</v>
      </c>
      <c r="L242">
        <v>1209.0999999999999</v>
      </c>
      <c r="M242">
        <v>6</v>
      </c>
      <c r="N242">
        <v>7254.6</v>
      </c>
    </row>
    <row r="243" spans="1:14" x14ac:dyDescent="0.3">
      <c r="A243">
        <v>242</v>
      </c>
      <c r="B243" s="37">
        <v>45915</v>
      </c>
      <c r="C243">
        <v>111</v>
      </c>
      <c r="D243" t="s">
        <v>36</v>
      </c>
      <c r="E243" t="s">
        <v>15</v>
      </c>
      <c r="F243">
        <v>62</v>
      </c>
      <c r="G243" t="s">
        <v>32</v>
      </c>
      <c r="H243" t="s">
        <v>33</v>
      </c>
      <c r="I243">
        <v>27</v>
      </c>
      <c r="J243" t="s">
        <v>24</v>
      </c>
      <c r="K243" t="s">
        <v>25</v>
      </c>
      <c r="L243">
        <v>845</v>
      </c>
      <c r="M243">
        <v>2</v>
      </c>
      <c r="N243">
        <v>1690</v>
      </c>
    </row>
    <row r="244" spans="1:14" x14ac:dyDescent="0.3">
      <c r="A244">
        <v>243</v>
      </c>
      <c r="B244" s="37">
        <v>46018</v>
      </c>
      <c r="C244">
        <v>1</v>
      </c>
      <c r="D244" t="s">
        <v>26</v>
      </c>
      <c r="E244" t="s">
        <v>41</v>
      </c>
      <c r="F244">
        <v>35</v>
      </c>
      <c r="G244" t="s">
        <v>59</v>
      </c>
      <c r="H244" t="s">
        <v>33</v>
      </c>
      <c r="I244">
        <v>12</v>
      </c>
      <c r="J244" t="s">
        <v>37</v>
      </c>
      <c r="K244" t="s">
        <v>38</v>
      </c>
      <c r="L244">
        <v>1036.1199999999999</v>
      </c>
      <c r="M244">
        <v>2</v>
      </c>
      <c r="N244">
        <v>2072.2399999999998</v>
      </c>
    </row>
    <row r="245" spans="1:14" x14ac:dyDescent="0.3">
      <c r="A245">
        <v>244</v>
      </c>
      <c r="B245" s="37">
        <v>45610</v>
      </c>
      <c r="C245">
        <v>71</v>
      </c>
      <c r="D245" t="s">
        <v>51</v>
      </c>
      <c r="E245" t="s">
        <v>36</v>
      </c>
      <c r="F245">
        <v>31</v>
      </c>
      <c r="G245" t="s">
        <v>16</v>
      </c>
      <c r="H245" t="s">
        <v>17</v>
      </c>
      <c r="I245">
        <v>16</v>
      </c>
      <c r="J245" t="s">
        <v>64</v>
      </c>
      <c r="K245" t="s">
        <v>43</v>
      </c>
      <c r="L245">
        <v>1170.95</v>
      </c>
      <c r="M245">
        <v>5</v>
      </c>
      <c r="N245">
        <v>5854.75</v>
      </c>
    </row>
    <row r="246" spans="1:14" x14ac:dyDescent="0.3">
      <c r="A246">
        <v>245</v>
      </c>
      <c r="B246" s="37">
        <v>45306</v>
      </c>
      <c r="C246">
        <v>22</v>
      </c>
      <c r="D246" t="s">
        <v>56</v>
      </c>
      <c r="E246" t="s">
        <v>27</v>
      </c>
      <c r="F246">
        <v>31</v>
      </c>
      <c r="G246" t="s">
        <v>32</v>
      </c>
      <c r="H246" t="s">
        <v>33</v>
      </c>
      <c r="I246">
        <v>16</v>
      </c>
      <c r="J246" t="s">
        <v>64</v>
      </c>
      <c r="K246" t="s">
        <v>43</v>
      </c>
      <c r="L246">
        <v>1170.95</v>
      </c>
      <c r="M246">
        <v>5</v>
      </c>
      <c r="N246">
        <v>5854.75</v>
      </c>
    </row>
    <row r="247" spans="1:14" x14ac:dyDescent="0.3">
      <c r="A247">
        <v>246</v>
      </c>
      <c r="B247" s="37">
        <v>45709</v>
      </c>
      <c r="C247">
        <v>25</v>
      </c>
      <c r="D247" t="s">
        <v>46</v>
      </c>
      <c r="E247" t="s">
        <v>21</v>
      </c>
      <c r="F247">
        <v>45</v>
      </c>
      <c r="G247" t="s">
        <v>22</v>
      </c>
      <c r="H247" t="s">
        <v>23</v>
      </c>
      <c r="I247">
        <v>13</v>
      </c>
      <c r="J247" t="s">
        <v>40</v>
      </c>
      <c r="K247" t="s">
        <v>38</v>
      </c>
      <c r="L247">
        <v>1340.6</v>
      </c>
      <c r="M247">
        <v>1</v>
      </c>
      <c r="N247">
        <v>1340.6</v>
      </c>
    </row>
    <row r="248" spans="1:14" x14ac:dyDescent="0.3">
      <c r="A248">
        <v>247</v>
      </c>
      <c r="B248" s="37">
        <v>45522</v>
      </c>
      <c r="C248">
        <v>58</v>
      </c>
      <c r="D248" t="s">
        <v>35</v>
      </c>
      <c r="E248" t="s">
        <v>27</v>
      </c>
      <c r="F248">
        <v>46</v>
      </c>
      <c r="G248" t="s">
        <v>52</v>
      </c>
      <c r="H248" t="s">
        <v>53</v>
      </c>
      <c r="I248">
        <v>7</v>
      </c>
      <c r="J248" t="s">
        <v>80</v>
      </c>
      <c r="K248" t="s">
        <v>71</v>
      </c>
      <c r="L248">
        <v>869.87</v>
      </c>
      <c r="M248">
        <v>1</v>
      </c>
      <c r="N248">
        <v>869.87</v>
      </c>
    </row>
    <row r="249" spans="1:14" x14ac:dyDescent="0.3">
      <c r="A249">
        <v>248</v>
      </c>
      <c r="B249" s="37">
        <v>45764</v>
      </c>
      <c r="C249">
        <v>60</v>
      </c>
      <c r="D249" t="s">
        <v>39</v>
      </c>
      <c r="E249" t="s">
        <v>31</v>
      </c>
      <c r="F249">
        <v>28</v>
      </c>
      <c r="G249" t="s">
        <v>32</v>
      </c>
      <c r="H249" t="s">
        <v>33</v>
      </c>
      <c r="I249">
        <v>3</v>
      </c>
      <c r="J249" t="s">
        <v>28</v>
      </c>
      <c r="K249" t="s">
        <v>29</v>
      </c>
      <c r="L249">
        <v>922.74</v>
      </c>
      <c r="M249">
        <v>1</v>
      </c>
      <c r="N249">
        <v>922.74</v>
      </c>
    </row>
    <row r="250" spans="1:14" x14ac:dyDescent="0.3">
      <c r="A250">
        <v>249</v>
      </c>
      <c r="B250" s="37">
        <v>45955</v>
      </c>
      <c r="C250">
        <v>1</v>
      </c>
      <c r="D250" t="s">
        <v>26</v>
      </c>
      <c r="E250" t="s">
        <v>41</v>
      </c>
      <c r="F250">
        <v>35</v>
      </c>
      <c r="G250" t="s">
        <v>59</v>
      </c>
      <c r="H250" t="s">
        <v>33</v>
      </c>
      <c r="I250">
        <v>17</v>
      </c>
      <c r="J250" t="s">
        <v>42</v>
      </c>
      <c r="K250" t="s">
        <v>43</v>
      </c>
      <c r="L250">
        <v>339.98</v>
      </c>
      <c r="M250">
        <v>2</v>
      </c>
      <c r="N250">
        <v>679.96</v>
      </c>
    </row>
    <row r="251" spans="1:14" x14ac:dyDescent="0.3">
      <c r="A251">
        <v>250</v>
      </c>
      <c r="B251" s="37">
        <v>45802</v>
      </c>
      <c r="C251">
        <v>45</v>
      </c>
      <c r="D251" t="s">
        <v>75</v>
      </c>
      <c r="E251" t="s">
        <v>60</v>
      </c>
      <c r="F251">
        <v>46</v>
      </c>
      <c r="G251" t="s">
        <v>16</v>
      </c>
      <c r="H251" t="s">
        <v>17</v>
      </c>
      <c r="I251">
        <v>21</v>
      </c>
      <c r="J251" t="s">
        <v>66</v>
      </c>
      <c r="K251" t="s">
        <v>19</v>
      </c>
      <c r="L251">
        <v>842.75</v>
      </c>
      <c r="M251">
        <v>6</v>
      </c>
      <c r="N251">
        <v>5056.5</v>
      </c>
    </row>
    <row r="252" spans="1:14" x14ac:dyDescent="0.3">
      <c r="A252">
        <v>251</v>
      </c>
      <c r="B252" s="37">
        <v>45590</v>
      </c>
      <c r="C252">
        <v>39</v>
      </c>
      <c r="D252" t="s">
        <v>39</v>
      </c>
      <c r="E252" t="s">
        <v>41</v>
      </c>
      <c r="F252">
        <v>49</v>
      </c>
      <c r="G252" t="s">
        <v>59</v>
      </c>
      <c r="H252" t="s">
        <v>33</v>
      </c>
      <c r="I252">
        <v>19</v>
      </c>
      <c r="J252" t="s">
        <v>84</v>
      </c>
      <c r="K252" t="s">
        <v>43</v>
      </c>
      <c r="L252">
        <v>1048.43</v>
      </c>
      <c r="M252">
        <v>5</v>
      </c>
      <c r="N252">
        <v>5242.1499999999996</v>
      </c>
    </row>
    <row r="253" spans="1:14" x14ac:dyDescent="0.3">
      <c r="A253">
        <v>252</v>
      </c>
      <c r="B253" s="37">
        <v>46014</v>
      </c>
      <c r="C253">
        <v>113</v>
      </c>
      <c r="D253" t="s">
        <v>30</v>
      </c>
      <c r="E253" t="s">
        <v>41</v>
      </c>
      <c r="F253">
        <v>29</v>
      </c>
      <c r="G253" t="s">
        <v>32</v>
      </c>
      <c r="H253" t="s">
        <v>33</v>
      </c>
      <c r="I253">
        <v>2</v>
      </c>
      <c r="J253" t="s">
        <v>34</v>
      </c>
      <c r="K253" t="s">
        <v>29</v>
      </c>
      <c r="L253">
        <v>1476.14</v>
      </c>
      <c r="M253">
        <v>3</v>
      </c>
      <c r="N253">
        <v>4428.42</v>
      </c>
    </row>
    <row r="254" spans="1:14" x14ac:dyDescent="0.3">
      <c r="A254">
        <v>253</v>
      </c>
      <c r="B254" s="37">
        <v>45717</v>
      </c>
      <c r="C254">
        <v>96</v>
      </c>
      <c r="D254" t="s">
        <v>14</v>
      </c>
      <c r="E254" t="s">
        <v>15</v>
      </c>
      <c r="F254">
        <v>69</v>
      </c>
      <c r="G254" t="s">
        <v>16</v>
      </c>
      <c r="H254" t="s">
        <v>17</v>
      </c>
      <c r="I254">
        <v>6</v>
      </c>
      <c r="J254" t="s">
        <v>86</v>
      </c>
      <c r="K254" t="s">
        <v>71</v>
      </c>
      <c r="L254">
        <v>1330.91</v>
      </c>
      <c r="M254">
        <v>4</v>
      </c>
      <c r="N254">
        <v>5323.64</v>
      </c>
    </row>
    <row r="255" spans="1:14" x14ac:dyDescent="0.3">
      <c r="A255">
        <v>254</v>
      </c>
      <c r="B255" s="37">
        <v>45775</v>
      </c>
      <c r="C255">
        <v>44</v>
      </c>
      <c r="D255" t="s">
        <v>46</v>
      </c>
      <c r="E255" t="s">
        <v>36</v>
      </c>
      <c r="F255">
        <v>43</v>
      </c>
      <c r="G255" t="s">
        <v>49</v>
      </c>
      <c r="H255" t="s">
        <v>50</v>
      </c>
      <c r="I255">
        <v>12</v>
      </c>
      <c r="J255" t="s">
        <v>37</v>
      </c>
      <c r="K255" t="s">
        <v>38</v>
      </c>
      <c r="L255">
        <v>1036.1199999999999</v>
      </c>
      <c r="M255">
        <v>2</v>
      </c>
      <c r="N255">
        <v>2072.2399999999998</v>
      </c>
    </row>
    <row r="256" spans="1:14" x14ac:dyDescent="0.3">
      <c r="A256">
        <v>255</v>
      </c>
      <c r="B256" s="37">
        <v>45759</v>
      </c>
      <c r="C256">
        <v>90</v>
      </c>
      <c r="D256" t="s">
        <v>63</v>
      </c>
      <c r="E256" t="s">
        <v>57</v>
      </c>
      <c r="F256">
        <v>20</v>
      </c>
      <c r="G256" t="s">
        <v>52</v>
      </c>
      <c r="H256" t="s">
        <v>53</v>
      </c>
      <c r="I256">
        <v>7</v>
      </c>
      <c r="J256" t="s">
        <v>80</v>
      </c>
      <c r="K256" t="s">
        <v>71</v>
      </c>
      <c r="L256">
        <v>869.87</v>
      </c>
      <c r="M256">
        <v>5</v>
      </c>
      <c r="N256">
        <v>4349.3500000000004</v>
      </c>
    </row>
    <row r="257" spans="1:14" x14ac:dyDescent="0.3">
      <c r="A257">
        <v>256</v>
      </c>
      <c r="B257" s="37">
        <v>45440</v>
      </c>
      <c r="C257">
        <v>86</v>
      </c>
      <c r="D257" t="s">
        <v>30</v>
      </c>
      <c r="E257" t="s">
        <v>36</v>
      </c>
      <c r="F257">
        <v>28</v>
      </c>
      <c r="G257" t="s">
        <v>52</v>
      </c>
      <c r="H257" t="s">
        <v>53</v>
      </c>
      <c r="I257">
        <v>23</v>
      </c>
      <c r="J257" t="s">
        <v>18</v>
      </c>
      <c r="K257" t="s">
        <v>19</v>
      </c>
      <c r="L257">
        <v>195.22</v>
      </c>
      <c r="M257">
        <v>4</v>
      </c>
      <c r="N257">
        <v>780.88</v>
      </c>
    </row>
    <row r="258" spans="1:14" x14ac:dyDescent="0.3">
      <c r="A258">
        <v>257</v>
      </c>
      <c r="B258" s="37">
        <v>45487</v>
      </c>
      <c r="C258">
        <v>25</v>
      </c>
      <c r="D258" t="s">
        <v>46</v>
      </c>
      <c r="E258" t="s">
        <v>21</v>
      </c>
      <c r="F258">
        <v>45</v>
      </c>
      <c r="G258" t="s">
        <v>22</v>
      </c>
      <c r="H258" t="s">
        <v>23</v>
      </c>
      <c r="I258">
        <v>15</v>
      </c>
      <c r="J258" t="s">
        <v>67</v>
      </c>
      <c r="K258" t="s">
        <v>38</v>
      </c>
      <c r="L258">
        <v>1329.92</v>
      </c>
      <c r="M258">
        <v>5</v>
      </c>
      <c r="N258">
        <v>6649.6</v>
      </c>
    </row>
    <row r="259" spans="1:14" x14ac:dyDescent="0.3">
      <c r="A259">
        <v>258</v>
      </c>
      <c r="B259" s="37">
        <v>45812</v>
      </c>
      <c r="C259">
        <v>89</v>
      </c>
      <c r="D259" t="s">
        <v>20</v>
      </c>
      <c r="E259" t="s">
        <v>62</v>
      </c>
      <c r="F259">
        <v>0</v>
      </c>
      <c r="G259" t="s">
        <v>52</v>
      </c>
      <c r="H259" t="s">
        <v>53</v>
      </c>
      <c r="I259">
        <v>28</v>
      </c>
      <c r="J259" t="s">
        <v>77</v>
      </c>
      <c r="K259" t="s">
        <v>25</v>
      </c>
      <c r="L259">
        <v>486.19</v>
      </c>
      <c r="M259">
        <v>6</v>
      </c>
      <c r="N259">
        <v>2917.14</v>
      </c>
    </row>
    <row r="260" spans="1:14" x14ac:dyDescent="0.3">
      <c r="A260">
        <v>259</v>
      </c>
      <c r="B260" s="37">
        <v>45431</v>
      </c>
      <c r="C260">
        <v>120</v>
      </c>
      <c r="D260" t="s">
        <v>14</v>
      </c>
      <c r="E260" t="s">
        <v>31</v>
      </c>
      <c r="F260">
        <v>27</v>
      </c>
      <c r="G260" t="s">
        <v>49</v>
      </c>
      <c r="H260" t="s">
        <v>50</v>
      </c>
      <c r="I260">
        <v>3</v>
      </c>
      <c r="J260" t="s">
        <v>28</v>
      </c>
      <c r="K260" t="s">
        <v>29</v>
      </c>
      <c r="L260">
        <v>922.74</v>
      </c>
      <c r="M260">
        <v>1</v>
      </c>
      <c r="N260">
        <v>922.74</v>
      </c>
    </row>
    <row r="261" spans="1:14" x14ac:dyDescent="0.3">
      <c r="A261">
        <v>260</v>
      </c>
      <c r="B261" s="37">
        <v>45574</v>
      </c>
      <c r="C261">
        <v>86</v>
      </c>
      <c r="D261" t="s">
        <v>96</v>
      </c>
      <c r="E261" t="s">
        <v>36</v>
      </c>
      <c r="F261">
        <v>28</v>
      </c>
      <c r="G261" t="s">
        <v>52</v>
      </c>
      <c r="H261" t="s">
        <v>53</v>
      </c>
      <c r="I261">
        <v>25</v>
      </c>
      <c r="J261" t="s">
        <v>61</v>
      </c>
      <c r="K261" t="s">
        <v>19</v>
      </c>
      <c r="L261">
        <v>705</v>
      </c>
      <c r="M261">
        <v>4</v>
      </c>
      <c r="N261">
        <v>2820</v>
      </c>
    </row>
    <row r="262" spans="1:14" x14ac:dyDescent="0.3">
      <c r="A262">
        <v>261</v>
      </c>
      <c r="B262" s="37">
        <v>45640</v>
      </c>
      <c r="C262">
        <v>12</v>
      </c>
      <c r="D262" t="s">
        <v>39</v>
      </c>
      <c r="E262" t="s">
        <v>60</v>
      </c>
      <c r="F262">
        <v>36</v>
      </c>
      <c r="G262" t="s">
        <v>32</v>
      </c>
      <c r="H262" t="s">
        <v>33</v>
      </c>
      <c r="I262">
        <v>2</v>
      </c>
      <c r="J262" t="s">
        <v>34</v>
      </c>
      <c r="K262" t="s">
        <v>29</v>
      </c>
      <c r="L262">
        <v>1476.14</v>
      </c>
      <c r="M262">
        <v>5</v>
      </c>
      <c r="N262">
        <v>7380.7</v>
      </c>
    </row>
    <row r="263" spans="1:14" x14ac:dyDescent="0.3">
      <c r="A263">
        <v>262</v>
      </c>
      <c r="B263" s="37">
        <v>45565</v>
      </c>
      <c r="C263">
        <v>25</v>
      </c>
      <c r="D263" t="s">
        <v>46</v>
      </c>
      <c r="E263" t="s">
        <v>21</v>
      </c>
      <c r="F263">
        <v>45</v>
      </c>
      <c r="G263" t="s">
        <v>22</v>
      </c>
      <c r="H263" t="s">
        <v>23</v>
      </c>
      <c r="I263">
        <v>19</v>
      </c>
      <c r="J263" t="s">
        <v>84</v>
      </c>
      <c r="K263" t="s">
        <v>43</v>
      </c>
      <c r="L263">
        <v>1048.43</v>
      </c>
      <c r="M263">
        <v>1</v>
      </c>
      <c r="N263">
        <v>1048.43</v>
      </c>
    </row>
    <row r="264" spans="1:14" x14ac:dyDescent="0.3">
      <c r="A264">
        <v>263</v>
      </c>
      <c r="B264" s="37">
        <v>45581</v>
      </c>
      <c r="C264">
        <v>67</v>
      </c>
      <c r="D264" t="s">
        <v>26</v>
      </c>
      <c r="E264" t="s">
        <v>60</v>
      </c>
      <c r="F264">
        <v>23</v>
      </c>
      <c r="G264" t="s">
        <v>52</v>
      </c>
      <c r="H264" t="s">
        <v>53</v>
      </c>
      <c r="I264">
        <v>18</v>
      </c>
      <c r="J264" t="s">
        <v>68</v>
      </c>
      <c r="K264" t="s">
        <v>43</v>
      </c>
      <c r="L264">
        <v>1209.0999999999999</v>
      </c>
      <c r="M264">
        <v>6</v>
      </c>
      <c r="N264">
        <v>7254.6</v>
      </c>
    </row>
    <row r="265" spans="1:14" x14ac:dyDescent="0.3">
      <c r="A265">
        <v>264</v>
      </c>
      <c r="B265" s="37">
        <v>45597</v>
      </c>
      <c r="C265">
        <v>7</v>
      </c>
      <c r="D265" t="s">
        <v>14</v>
      </c>
      <c r="E265" t="s">
        <v>57</v>
      </c>
      <c r="F265">
        <v>62</v>
      </c>
      <c r="G265" t="s">
        <v>32</v>
      </c>
      <c r="H265" t="s">
        <v>33</v>
      </c>
      <c r="I265">
        <v>5</v>
      </c>
      <c r="J265" t="s">
        <v>82</v>
      </c>
      <c r="K265" t="s">
        <v>29</v>
      </c>
      <c r="L265">
        <v>691.29</v>
      </c>
      <c r="M265">
        <v>5</v>
      </c>
      <c r="N265">
        <v>3456.45</v>
      </c>
    </row>
    <row r="266" spans="1:14" x14ac:dyDescent="0.3">
      <c r="A266">
        <v>265</v>
      </c>
      <c r="B266" s="37">
        <v>45885</v>
      </c>
      <c r="C266">
        <v>78</v>
      </c>
      <c r="D266" t="s">
        <v>79</v>
      </c>
      <c r="E266" t="s">
        <v>44</v>
      </c>
      <c r="F266">
        <v>51</v>
      </c>
      <c r="G266" t="s">
        <v>22</v>
      </c>
      <c r="H266" t="s">
        <v>23</v>
      </c>
      <c r="I266">
        <v>26</v>
      </c>
      <c r="J266" t="s">
        <v>54</v>
      </c>
      <c r="K266" t="s">
        <v>25</v>
      </c>
      <c r="L266">
        <v>803.73</v>
      </c>
      <c r="M266">
        <v>6</v>
      </c>
      <c r="N266">
        <v>4822.38</v>
      </c>
    </row>
    <row r="267" spans="1:14" x14ac:dyDescent="0.3">
      <c r="A267">
        <v>266</v>
      </c>
      <c r="B267" s="37">
        <v>45793</v>
      </c>
      <c r="C267">
        <v>114</v>
      </c>
      <c r="D267" t="s">
        <v>63</v>
      </c>
      <c r="E267" t="s">
        <v>60</v>
      </c>
      <c r="F267">
        <v>18</v>
      </c>
      <c r="G267" t="s">
        <v>22</v>
      </c>
      <c r="H267" t="s">
        <v>23</v>
      </c>
      <c r="I267">
        <v>16</v>
      </c>
      <c r="J267" t="s">
        <v>64</v>
      </c>
      <c r="K267" t="s">
        <v>43</v>
      </c>
      <c r="L267">
        <v>1170.95</v>
      </c>
      <c r="M267">
        <v>2</v>
      </c>
      <c r="N267">
        <v>2341.9</v>
      </c>
    </row>
    <row r="268" spans="1:14" x14ac:dyDescent="0.3">
      <c r="A268">
        <v>267</v>
      </c>
      <c r="B268" s="37">
        <v>45749</v>
      </c>
      <c r="C268">
        <v>93</v>
      </c>
      <c r="D268" t="s">
        <v>79</v>
      </c>
      <c r="E268" t="s">
        <v>41</v>
      </c>
      <c r="F268">
        <v>27</v>
      </c>
      <c r="G268" t="s">
        <v>32</v>
      </c>
      <c r="H268" t="s">
        <v>33</v>
      </c>
      <c r="I268">
        <v>10</v>
      </c>
      <c r="J268" t="s">
        <v>70</v>
      </c>
      <c r="K268" t="s">
        <v>71</v>
      </c>
      <c r="L268">
        <v>608.48</v>
      </c>
      <c r="M268">
        <v>5</v>
      </c>
      <c r="N268">
        <v>3042.4</v>
      </c>
    </row>
    <row r="269" spans="1:14" x14ac:dyDescent="0.3">
      <c r="A269">
        <v>268</v>
      </c>
      <c r="B269" s="37">
        <v>45787</v>
      </c>
      <c r="C269">
        <v>41</v>
      </c>
      <c r="D269" t="s">
        <v>30</v>
      </c>
      <c r="E269" t="s">
        <v>74</v>
      </c>
      <c r="F269" t="s">
        <v>89</v>
      </c>
      <c r="G269" t="s">
        <v>52</v>
      </c>
      <c r="H269" t="s">
        <v>53</v>
      </c>
      <c r="I269">
        <v>9</v>
      </c>
      <c r="J269" t="s">
        <v>76</v>
      </c>
      <c r="K269" t="s">
        <v>71</v>
      </c>
      <c r="L269">
        <v>585.21</v>
      </c>
      <c r="M269">
        <v>3</v>
      </c>
      <c r="N269">
        <v>1755.63</v>
      </c>
    </row>
    <row r="270" spans="1:14" x14ac:dyDescent="0.3">
      <c r="A270">
        <v>269</v>
      </c>
      <c r="B270" s="37">
        <v>45632</v>
      </c>
      <c r="C270">
        <v>1</v>
      </c>
      <c r="D270" t="s">
        <v>26</v>
      </c>
      <c r="E270" t="s">
        <v>41</v>
      </c>
      <c r="F270">
        <v>35</v>
      </c>
      <c r="G270" t="s">
        <v>59</v>
      </c>
      <c r="H270" t="s">
        <v>33</v>
      </c>
      <c r="I270">
        <v>17</v>
      </c>
      <c r="J270" t="s">
        <v>42</v>
      </c>
      <c r="K270" t="s">
        <v>43</v>
      </c>
      <c r="L270">
        <v>339.98</v>
      </c>
      <c r="M270">
        <v>5</v>
      </c>
      <c r="N270">
        <v>1699.9</v>
      </c>
    </row>
    <row r="271" spans="1:14" x14ac:dyDescent="0.3">
      <c r="A271">
        <v>270</v>
      </c>
      <c r="B271" s="37">
        <v>45848</v>
      </c>
      <c r="C271">
        <v>87</v>
      </c>
      <c r="D271" t="s">
        <v>20</v>
      </c>
      <c r="E271" t="s">
        <v>41</v>
      </c>
      <c r="F271">
        <v>45</v>
      </c>
      <c r="G271" t="s">
        <v>52</v>
      </c>
      <c r="H271" t="s">
        <v>53</v>
      </c>
      <c r="I271">
        <v>27</v>
      </c>
      <c r="J271" t="s">
        <v>24</v>
      </c>
      <c r="K271" t="s">
        <v>25</v>
      </c>
      <c r="L271">
        <v>845</v>
      </c>
      <c r="M271">
        <v>4</v>
      </c>
      <c r="N271">
        <v>3380</v>
      </c>
    </row>
    <row r="272" spans="1:14" x14ac:dyDescent="0.3">
      <c r="A272">
        <v>271</v>
      </c>
      <c r="B272" s="37">
        <v>45758</v>
      </c>
      <c r="C272">
        <v>76</v>
      </c>
      <c r="D272" t="s">
        <v>72</v>
      </c>
      <c r="E272" t="s">
        <v>47</v>
      </c>
      <c r="F272">
        <v>22</v>
      </c>
      <c r="G272" t="s">
        <v>22</v>
      </c>
      <c r="H272" t="s">
        <v>23</v>
      </c>
      <c r="I272">
        <v>4</v>
      </c>
      <c r="J272" t="s">
        <v>48</v>
      </c>
      <c r="K272" t="s">
        <v>29</v>
      </c>
      <c r="L272">
        <v>1156.21</v>
      </c>
      <c r="M272">
        <v>3</v>
      </c>
      <c r="N272">
        <v>3468.63</v>
      </c>
    </row>
    <row r="273" spans="1:14" x14ac:dyDescent="0.3">
      <c r="A273">
        <v>272</v>
      </c>
      <c r="B273" s="37">
        <v>45485</v>
      </c>
      <c r="C273">
        <v>12</v>
      </c>
      <c r="D273" t="s">
        <v>39</v>
      </c>
      <c r="E273" t="s">
        <v>60</v>
      </c>
      <c r="F273">
        <v>36</v>
      </c>
      <c r="G273" t="s">
        <v>32</v>
      </c>
      <c r="H273" t="s">
        <v>33</v>
      </c>
      <c r="I273">
        <v>5</v>
      </c>
      <c r="J273" t="s">
        <v>82</v>
      </c>
      <c r="K273" t="s">
        <v>29</v>
      </c>
      <c r="L273">
        <v>691.29</v>
      </c>
      <c r="M273">
        <v>6</v>
      </c>
      <c r="N273">
        <v>4147.74</v>
      </c>
    </row>
    <row r="274" spans="1:14" x14ac:dyDescent="0.3">
      <c r="A274">
        <v>273</v>
      </c>
      <c r="B274" s="37">
        <v>45536</v>
      </c>
      <c r="C274">
        <v>2</v>
      </c>
      <c r="D274" t="s">
        <v>72</v>
      </c>
      <c r="E274" t="s">
        <v>41</v>
      </c>
      <c r="F274">
        <v>24</v>
      </c>
      <c r="G274" t="s">
        <v>49</v>
      </c>
      <c r="H274" t="s">
        <v>50</v>
      </c>
      <c r="I274">
        <v>7</v>
      </c>
      <c r="J274" t="s">
        <v>80</v>
      </c>
      <c r="K274" t="s">
        <v>71</v>
      </c>
      <c r="L274">
        <v>869.87</v>
      </c>
      <c r="M274">
        <v>5</v>
      </c>
      <c r="N274">
        <v>4349.3500000000004</v>
      </c>
    </row>
    <row r="275" spans="1:14" x14ac:dyDescent="0.3">
      <c r="A275">
        <v>274</v>
      </c>
      <c r="B275" s="37">
        <v>45684</v>
      </c>
      <c r="C275">
        <v>31</v>
      </c>
      <c r="D275" t="s">
        <v>30</v>
      </c>
      <c r="E275" t="s">
        <v>60</v>
      </c>
      <c r="F275">
        <v>66</v>
      </c>
      <c r="G275" t="s">
        <v>59</v>
      </c>
      <c r="H275" t="s">
        <v>33</v>
      </c>
      <c r="I275">
        <v>6</v>
      </c>
      <c r="J275" t="s">
        <v>86</v>
      </c>
      <c r="K275" t="s">
        <v>71</v>
      </c>
      <c r="L275">
        <v>1330.91</v>
      </c>
      <c r="M275">
        <v>2</v>
      </c>
      <c r="N275">
        <v>2661.82</v>
      </c>
    </row>
    <row r="276" spans="1:14" x14ac:dyDescent="0.3">
      <c r="A276">
        <v>275</v>
      </c>
      <c r="B276" s="37">
        <v>45712</v>
      </c>
      <c r="C276">
        <v>115</v>
      </c>
      <c r="D276" t="s">
        <v>35</v>
      </c>
      <c r="E276" t="s">
        <v>15</v>
      </c>
      <c r="F276">
        <v>68</v>
      </c>
      <c r="G276" t="s">
        <v>22</v>
      </c>
      <c r="H276" t="s">
        <v>23</v>
      </c>
      <c r="I276">
        <v>29</v>
      </c>
      <c r="J276" t="s">
        <v>65</v>
      </c>
      <c r="K276" t="s">
        <v>25</v>
      </c>
      <c r="L276">
        <v>1136.55</v>
      </c>
      <c r="M276">
        <v>1</v>
      </c>
      <c r="N276">
        <v>1136.55</v>
      </c>
    </row>
    <row r="277" spans="1:14" x14ac:dyDescent="0.3">
      <c r="A277">
        <v>276</v>
      </c>
      <c r="B277" s="37">
        <v>45617</v>
      </c>
      <c r="C277">
        <v>5</v>
      </c>
      <c r="D277" t="s">
        <v>20</v>
      </c>
      <c r="E277" t="s">
        <v>31</v>
      </c>
      <c r="F277">
        <v>63</v>
      </c>
      <c r="G277" t="s">
        <v>32</v>
      </c>
      <c r="H277" t="s">
        <v>33</v>
      </c>
      <c r="I277">
        <v>9</v>
      </c>
      <c r="J277" t="s">
        <v>76</v>
      </c>
      <c r="K277" t="s">
        <v>71</v>
      </c>
      <c r="L277">
        <v>585.21</v>
      </c>
      <c r="M277">
        <v>6</v>
      </c>
      <c r="N277">
        <v>3511.26</v>
      </c>
    </row>
    <row r="278" spans="1:14" x14ac:dyDescent="0.3">
      <c r="A278">
        <v>277</v>
      </c>
      <c r="B278" s="37">
        <v>45776</v>
      </c>
      <c r="C278">
        <v>18</v>
      </c>
      <c r="D278" t="s">
        <v>79</v>
      </c>
      <c r="E278" t="s">
        <v>44</v>
      </c>
      <c r="F278">
        <v>28</v>
      </c>
      <c r="G278" t="s">
        <v>59</v>
      </c>
      <c r="H278" t="s">
        <v>33</v>
      </c>
      <c r="I278">
        <v>4</v>
      </c>
      <c r="J278" t="s">
        <v>48</v>
      </c>
      <c r="K278" t="s">
        <v>29</v>
      </c>
      <c r="L278">
        <v>1156.21</v>
      </c>
      <c r="M278">
        <v>6</v>
      </c>
      <c r="N278">
        <v>6937.26</v>
      </c>
    </row>
    <row r="279" spans="1:14" x14ac:dyDescent="0.3">
      <c r="A279">
        <v>278</v>
      </c>
      <c r="B279" s="37">
        <v>45682</v>
      </c>
      <c r="C279">
        <v>108</v>
      </c>
      <c r="D279" t="s">
        <v>36</v>
      </c>
      <c r="E279" t="s">
        <v>15</v>
      </c>
      <c r="F279">
        <v>22</v>
      </c>
      <c r="G279" t="s">
        <v>49</v>
      </c>
      <c r="H279" t="s">
        <v>50</v>
      </c>
      <c r="I279">
        <v>26</v>
      </c>
      <c r="J279" t="s">
        <v>54</v>
      </c>
      <c r="K279" t="s">
        <v>25</v>
      </c>
      <c r="L279">
        <v>803.73</v>
      </c>
      <c r="M279">
        <v>4</v>
      </c>
      <c r="N279">
        <v>3214.92</v>
      </c>
    </row>
    <row r="280" spans="1:14" x14ac:dyDescent="0.3">
      <c r="A280">
        <v>279</v>
      </c>
      <c r="B280" s="37">
        <v>45971</v>
      </c>
      <c r="C280">
        <v>42</v>
      </c>
      <c r="D280" t="s">
        <v>20</v>
      </c>
      <c r="E280" t="s">
        <v>21</v>
      </c>
      <c r="F280">
        <v>45</v>
      </c>
      <c r="G280" t="s">
        <v>22</v>
      </c>
      <c r="H280" t="s">
        <v>23</v>
      </c>
      <c r="I280">
        <v>26</v>
      </c>
      <c r="J280" t="s">
        <v>54</v>
      </c>
      <c r="K280" t="s">
        <v>25</v>
      </c>
      <c r="L280">
        <v>803.73</v>
      </c>
      <c r="M280">
        <v>6</v>
      </c>
      <c r="N280">
        <v>4822.38</v>
      </c>
    </row>
    <row r="281" spans="1:14" x14ac:dyDescent="0.3">
      <c r="A281">
        <v>280</v>
      </c>
      <c r="B281" s="37">
        <v>45447</v>
      </c>
      <c r="C281">
        <v>22</v>
      </c>
      <c r="D281" t="s">
        <v>56</v>
      </c>
      <c r="E281" t="s">
        <v>27</v>
      </c>
      <c r="F281">
        <v>31</v>
      </c>
      <c r="G281" t="s">
        <v>32</v>
      </c>
      <c r="H281" t="s">
        <v>33</v>
      </c>
      <c r="I281">
        <v>23</v>
      </c>
      <c r="J281" t="s">
        <v>18</v>
      </c>
      <c r="K281" t="s">
        <v>19</v>
      </c>
      <c r="L281">
        <v>195.22</v>
      </c>
      <c r="M281">
        <v>4</v>
      </c>
      <c r="N281">
        <v>780.88</v>
      </c>
    </row>
    <row r="282" spans="1:14" x14ac:dyDescent="0.3">
      <c r="A282">
        <v>281</v>
      </c>
      <c r="B282" s="37">
        <v>45329</v>
      </c>
      <c r="C282">
        <v>23</v>
      </c>
      <c r="D282" t="s">
        <v>35</v>
      </c>
      <c r="E282" t="s">
        <v>44</v>
      </c>
      <c r="F282">
        <v>49</v>
      </c>
      <c r="G282" t="s">
        <v>16</v>
      </c>
      <c r="H282" t="s">
        <v>17</v>
      </c>
      <c r="I282">
        <v>14</v>
      </c>
      <c r="J282" t="s">
        <v>81</v>
      </c>
      <c r="K282" t="s">
        <v>38</v>
      </c>
      <c r="L282">
        <v>1292.75</v>
      </c>
      <c r="M282">
        <v>2</v>
      </c>
      <c r="N282">
        <v>2585.5</v>
      </c>
    </row>
    <row r="283" spans="1:14" x14ac:dyDescent="0.3">
      <c r="A283">
        <v>282</v>
      </c>
      <c r="B283" s="37">
        <v>45806</v>
      </c>
      <c r="C283">
        <v>20</v>
      </c>
      <c r="D283" t="s">
        <v>30</v>
      </c>
      <c r="E283" t="s">
        <v>47</v>
      </c>
      <c r="F283">
        <v>67</v>
      </c>
      <c r="G283" t="s">
        <v>49</v>
      </c>
      <c r="H283" t="s">
        <v>50</v>
      </c>
      <c r="I283">
        <v>2</v>
      </c>
      <c r="J283" t="s">
        <v>34</v>
      </c>
      <c r="K283" t="s">
        <v>29</v>
      </c>
      <c r="L283">
        <v>1476.14</v>
      </c>
      <c r="M283">
        <v>5</v>
      </c>
      <c r="N283">
        <v>7380.7</v>
      </c>
    </row>
    <row r="284" spans="1:14" x14ac:dyDescent="0.3">
      <c r="A284">
        <v>283</v>
      </c>
      <c r="B284" s="37">
        <v>45631</v>
      </c>
      <c r="C284">
        <v>79</v>
      </c>
      <c r="D284" t="s">
        <v>51</v>
      </c>
      <c r="E284" t="s">
        <v>44</v>
      </c>
      <c r="F284">
        <v>24</v>
      </c>
      <c r="G284" t="s">
        <v>22</v>
      </c>
      <c r="H284" t="s">
        <v>23</v>
      </c>
      <c r="I284">
        <v>11</v>
      </c>
      <c r="J284" t="s">
        <v>55</v>
      </c>
      <c r="K284" t="s">
        <v>38</v>
      </c>
      <c r="L284">
        <v>234.14</v>
      </c>
      <c r="M284">
        <v>1</v>
      </c>
      <c r="N284">
        <v>234.14</v>
      </c>
    </row>
    <row r="285" spans="1:14" x14ac:dyDescent="0.3">
      <c r="A285">
        <v>284</v>
      </c>
      <c r="B285" s="37">
        <v>45742</v>
      </c>
      <c r="C285">
        <v>59</v>
      </c>
      <c r="D285" t="s">
        <v>26</v>
      </c>
      <c r="E285" t="s">
        <v>44</v>
      </c>
      <c r="F285">
        <v>52</v>
      </c>
      <c r="G285" t="s">
        <v>59</v>
      </c>
      <c r="H285" t="s">
        <v>33</v>
      </c>
      <c r="I285">
        <v>20</v>
      </c>
      <c r="J285" t="s">
        <v>58</v>
      </c>
      <c r="K285" t="s">
        <v>43</v>
      </c>
      <c r="L285">
        <v>704.86</v>
      </c>
      <c r="M285">
        <v>1</v>
      </c>
      <c r="N285">
        <v>704.86</v>
      </c>
    </row>
    <row r="286" spans="1:14" x14ac:dyDescent="0.3">
      <c r="A286">
        <v>285</v>
      </c>
      <c r="B286" s="37">
        <v>45830</v>
      </c>
      <c r="C286">
        <v>80</v>
      </c>
      <c r="D286" t="s">
        <v>56</v>
      </c>
      <c r="E286" t="s">
        <v>27</v>
      </c>
      <c r="F286">
        <v>24</v>
      </c>
      <c r="G286" t="s">
        <v>52</v>
      </c>
      <c r="H286" t="s">
        <v>53</v>
      </c>
      <c r="I286">
        <v>11</v>
      </c>
      <c r="J286" t="s">
        <v>55</v>
      </c>
      <c r="K286" t="s">
        <v>38</v>
      </c>
      <c r="L286">
        <v>234.14</v>
      </c>
      <c r="M286">
        <v>4</v>
      </c>
      <c r="N286">
        <v>936.56</v>
      </c>
    </row>
    <row r="287" spans="1:14" x14ac:dyDescent="0.3">
      <c r="A287">
        <v>286</v>
      </c>
      <c r="B287" s="37">
        <v>45307</v>
      </c>
      <c r="C287">
        <v>40</v>
      </c>
      <c r="D287" t="s">
        <v>14</v>
      </c>
      <c r="E287" t="s">
        <v>60</v>
      </c>
      <c r="F287">
        <v>67</v>
      </c>
      <c r="G287" t="s">
        <v>59</v>
      </c>
      <c r="H287" t="s">
        <v>33</v>
      </c>
      <c r="I287">
        <v>14</v>
      </c>
      <c r="J287" t="s">
        <v>81</v>
      </c>
      <c r="K287" t="s">
        <v>38</v>
      </c>
      <c r="L287">
        <v>1292.75</v>
      </c>
      <c r="M287">
        <v>6</v>
      </c>
      <c r="N287">
        <v>7756.5</v>
      </c>
    </row>
    <row r="288" spans="1:14" x14ac:dyDescent="0.3">
      <c r="A288">
        <v>287</v>
      </c>
      <c r="B288" s="37">
        <v>45439</v>
      </c>
      <c r="C288">
        <v>41</v>
      </c>
      <c r="D288" t="s">
        <v>30</v>
      </c>
      <c r="E288" t="s">
        <v>74</v>
      </c>
      <c r="F288">
        <v>53</v>
      </c>
      <c r="G288" t="s">
        <v>52</v>
      </c>
      <c r="H288" t="s">
        <v>53</v>
      </c>
      <c r="I288">
        <v>30</v>
      </c>
      <c r="J288" t="s">
        <v>73</v>
      </c>
      <c r="K288" t="s">
        <v>25</v>
      </c>
      <c r="L288">
        <v>672.22</v>
      </c>
      <c r="M288">
        <v>4</v>
      </c>
      <c r="N288">
        <v>2688.88</v>
      </c>
    </row>
    <row r="289" spans="1:14" x14ac:dyDescent="0.3">
      <c r="A289">
        <v>288</v>
      </c>
      <c r="B289" s="37">
        <v>45962</v>
      </c>
      <c r="C289">
        <v>28</v>
      </c>
      <c r="D289" t="s">
        <v>14</v>
      </c>
      <c r="E289" t="s">
        <v>44</v>
      </c>
      <c r="F289">
        <v>45</v>
      </c>
      <c r="G289" t="s">
        <v>52</v>
      </c>
      <c r="H289" t="s">
        <v>53</v>
      </c>
      <c r="I289">
        <v>5</v>
      </c>
      <c r="J289" t="s">
        <v>82</v>
      </c>
      <c r="K289" t="s">
        <v>29</v>
      </c>
      <c r="L289">
        <v>691.29</v>
      </c>
      <c r="M289">
        <v>2</v>
      </c>
      <c r="N289">
        <v>1382.58</v>
      </c>
    </row>
    <row r="290" spans="1:14" x14ac:dyDescent="0.3">
      <c r="A290">
        <v>289</v>
      </c>
      <c r="B290" s="37">
        <v>45368</v>
      </c>
      <c r="C290">
        <v>88</v>
      </c>
      <c r="D290" t="s">
        <v>39</v>
      </c>
      <c r="E290" t="s">
        <v>27</v>
      </c>
      <c r="F290">
        <v>62</v>
      </c>
      <c r="G290" t="s">
        <v>32</v>
      </c>
      <c r="H290" t="s">
        <v>33</v>
      </c>
      <c r="I290">
        <v>30</v>
      </c>
      <c r="J290" t="s">
        <v>73</v>
      </c>
      <c r="K290" t="s">
        <v>25</v>
      </c>
      <c r="L290">
        <v>672.22</v>
      </c>
      <c r="M290">
        <v>4</v>
      </c>
      <c r="N290">
        <v>2688.88</v>
      </c>
    </row>
    <row r="291" spans="1:14" x14ac:dyDescent="0.3">
      <c r="A291">
        <v>290</v>
      </c>
      <c r="B291" s="37">
        <v>45563</v>
      </c>
      <c r="C291">
        <v>104</v>
      </c>
      <c r="D291" t="s">
        <v>26</v>
      </c>
      <c r="E291" t="s">
        <v>27</v>
      </c>
      <c r="F291">
        <v>56</v>
      </c>
      <c r="G291" t="s">
        <v>22</v>
      </c>
      <c r="H291" t="s">
        <v>23</v>
      </c>
      <c r="I291">
        <v>16</v>
      </c>
      <c r="J291" t="s">
        <v>64</v>
      </c>
      <c r="K291" t="s">
        <v>43</v>
      </c>
      <c r="L291">
        <v>1170.95</v>
      </c>
      <c r="M291">
        <v>3</v>
      </c>
      <c r="N291">
        <v>3512.85</v>
      </c>
    </row>
    <row r="292" spans="1:14" x14ac:dyDescent="0.3">
      <c r="A292">
        <v>291</v>
      </c>
      <c r="B292" s="37">
        <v>45930</v>
      </c>
      <c r="C292">
        <v>25</v>
      </c>
      <c r="D292" t="s">
        <v>46</v>
      </c>
      <c r="E292" t="s">
        <v>21</v>
      </c>
      <c r="F292">
        <v>45</v>
      </c>
      <c r="G292" t="s">
        <v>22</v>
      </c>
      <c r="H292" t="s">
        <v>23</v>
      </c>
      <c r="I292">
        <v>16</v>
      </c>
      <c r="J292" t="s">
        <v>64</v>
      </c>
      <c r="K292" t="s">
        <v>43</v>
      </c>
      <c r="L292">
        <v>1170.95</v>
      </c>
      <c r="M292">
        <v>6</v>
      </c>
      <c r="N292">
        <v>7025.7</v>
      </c>
    </row>
    <row r="293" spans="1:14" x14ac:dyDescent="0.3">
      <c r="A293">
        <v>292</v>
      </c>
      <c r="B293" s="37">
        <v>45699</v>
      </c>
      <c r="C293">
        <v>86</v>
      </c>
      <c r="D293" t="s">
        <v>30</v>
      </c>
      <c r="E293" t="s">
        <v>36</v>
      </c>
      <c r="F293">
        <v>28</v>
      </c>
      <c r="G293" t="s">
        <v>52</v>
      </c>
      <c r="H293" t="s">
        <v>53</v>
      </c>
      <c r="I293">
        <v>14</v>
      </c>
      <c r="J293" t="s">
        <v>81</v>
      </c>
      <c r="K293" t="s">
        <v>38</v>
      </c>
      <c r="L293">
        <v>1292.75</v>
      </c>
      <c r="M293">
        <v>6</v>
      </c>
      <c r="N293">
        <v>7756.5</v>
      </c>
    </row>
    <row r="294" spans="1:14" x14ac:dyDescent="0.3">
      <c r="A294">
        <v>293</v>
      </c>
      <c r="B294" s="37">
        <v>45374</v>
      </c>
      <c r="C294">
        <v>40</v>
      </c>
      <c r="D294" t="s">
        <v>14</v>
      </c>
      <c r="E294" t="s">
        <v>60</v>
      </c>
      <c r="F294">
        <v>67</v>
      </c>
      <c r="G294" t="s">
        <v>59</v>
      </c>
      <c r="H294" t="s">
        <v>33</v>
      </c>
      <c r="I294">
        <v>6</v>
      </c>
      <c r="J294" t="s">
        <v>86</v>
      </c>
      <c r="K294" t="s">
        <v>71</v>
      </c>
      <c r="L294">
        <v>1330.91</v>
      </c>
      <c r="M294">
        <v>3</v>
      </c>
      <c r="N294">
        <v>3992.73</v>
      </c>
    </row>
    <row r="295" spans="1:14" x14ac:dyDescent="0.3">
      <c r="A295">
        <v>294</v>
      </c>
      <c r="B295" s="37">
        <v>45982</v>
      </c>
      <c r="C295">
        <v>9</v>
      </c>
      <c r="D295" t="s">
        <v>39</v>
      </c>
      <c r="E295" t="s">
        <v>27</v>
      </c>
      <c r="F295">
        <v>42</v>
      </c>
      <c r="G295" t="s">
        <v>16</v>
      </c>
      <c r="H295" t="s">
        <v>17</v>
      </c>
      <c r="I295">
        <v>13</v>
      </c>
      <c r="J295" t="s">
        <v>40</v>
      </c>
      <c r="K295" t="s">
        <v>38</v>
      </c>
      <c r="L295">
        <v>1340.6</v>
      </c>
      <c r="M295">
        <v>5</v>
      </c>
      <c r="N295">
        <v>6703</v>
      </c>
    </row>
    <row r="296" spans="1:14" x14ac:dyDescent="0.3">
      <c r="A296">
        <v>295</v>
      </c>
      <c r="B296" s="37">
        <v>45681</v>
      </c>
      <c r="C296">
        <v>68</v>
      </c>
      <c r="D296" t="s">
        <v>39</v>
      </c>
      <c r="E296" t="s">
        <v>21</v>
      </c>
      <c r="F296">
        <v>22</v>
      </c>
      <c r="G296" t="s">
        <v>52</v>
      </c>
      <c r="H296" t="s">
        <v>53</v>
      </c>
      <c r="I296">
        <v>15</v>
      </c>
      <c r="J296" t="s">
        <v>67</v>
      </c>
      <c r="K296" t="s">
        <v>38</v>
      </c>
      <c r="L296">
        <v>1329.92</v>
      </c>
      <c r="M296">
        <v>3</v>
      </c>
      <c r="N296">
        <v>3989.76</v>
      </c>
    </row>
    <row r="297" spans="1:14" x14ac:dyDescent="0.3">
      <c r="A297">
        <v>296</v>
      </c>
      <c r="B297" s="37">
        <v>45933</v>
      </c>
      <c r="C297">
        <v>107</v>
      </c>
      <c r="D297" t="s">
        <v>46</v>
      </c>
      <c r="E297" t="s">
        <v>15</v>
      </c>
      <c r="F297">
        <v>18</v>
      </c>
      <c r="G297" t="s">
        <v>32</v>
      </c>
      <c r="H297" t="s">
        <v>33</v>
      </c>
      <c r="I297">
        <v>16</v>
      </c>
      <c r="J297" t="s">
        <v>64</v>
      </c>
      <c r="K297" t="s">
        <v>43</v>
      </c>
      <c r="L297">
        <v>1170.95</v>
      </c>
      <c r="M297">
        <v>6</v>
      </c>
      <c r="N297">
        <v>7025.7</v>
      </c>
    </row>
    <row r="298" spans="1:14" x14ac:dyDescent="0.3">
      <c r="A298">
        <v>297</v>
      </c>
      <c r="B298" s="37">
        <v>45791</v>
      </c>
      <c r="C298">
        <v>87</v>
      </c>
      <c r="D298" t="s">
        <v>20</v>
      </c>
      <c r="E298" t="s">
        <v>41</v>
      </c>
      <c r="F298">
        <v>45</v>
      </c>
      <c r="G298" t="s">
        <v>52</v>
      </c>
      <c r="H298" t="s">
        <v>53</v>
      </c>
      <c r="I298">
        <v>28</v>
      </c>
      <c r="J298" t="s">
        <v>77</v>
      </c>
      <c r="K298" t="s">
        <v>25</v>
      </c>
      <c r="L298">
        <v>486.19</v>
      </c>
      <c r="M298">
        <v>5</v>
      </c>
      <c r="N298">
        <v>2430.9499999999998</v>
      </c>
    </row>
    <row r="299" spans="1:14" x14ac:dyDescent="0.3">
      <c r="A299">
        <v>298</v>
      </c>
      <c r="B299" s="37">
        <v>45328</v>
      </c>
      <c r="C299">
        <v>30</v>
      </c>
      <c r="D299" t="s">
        <v>90</v>
      </c>
      <c r="E299" t="s">
        <v>62</v>
      </c>
      <c r="F299">
        <v>61</v>
      </c>
      <c r="G299" t="s">
        <v>22</v>
      </c>
      <c r="H299" t="s">
        <v>23</v>
      </c>
      <c r="I299">
        <v>25</v>
      </c>
      <c r="J299" t="s">
        <v>61</v>
      </c>
      <c r="K299" t="s">
        <v>19</v>
      </c>
      <c r="L299">
        <v>705</v>
      </c>
      <c r="M299">
        <v>5</v>
      </c>
      <c r="N299">
        <v>3525</v>
      </c>
    </row>
    <row r="300" spans="1:14" x14ac:dyDescent="0.3">
      <c r="A300">
        <v>299</v>
      </c>
      <c r="B300" s="37">
        <v>45362</v>
      </c>
      <c r="C300">
        <v>52</v>
      </c>
      <c r="D300" t="s">
        <v>39</v>
      </c>
      <c r="E300" t="s">
        <v>27</v>
      </c>
      <c r="F300">
        <v>60</v>
      </c>
      <c r="G300" t="s">
        <v>49</v>
      </c>
      <c r="H300" t="s">
        <v>50</v>
      </c>
      <c r="I300">
        <v>18</v>
      </c>
      <c r="J300" t="s">
        <v>68</v>
      </c>
      <c r="K300" t="s">
        <v>43</v>
      </c>
      <c r="L300">
        <v>-1209.0999999999999</v>
      </c>
      <c r="M300">
        <v>2</v>
      </c>
      <c r="N300">
        <v>2418.1999999999998</v>
      </c>
    </row>
    <row r="301" spans="1:14" x14ac:dyDescent="0.3">
      <c r="A301">
        <v>300</v>
      </c>
      <c r="B301" s="37">
        <v>45938</v>
      </c>
      <c r="C301">
        <v>15</v>
      </c>
      <c r="D301" t="s">
        <v>83</v>
      </c>
      <c r="E301" t="s">
        <v>31</v>
      </c>
      <c r="F301">
        <v>24</v>
      </c>
      <c r="G301" t="s">
        <v>59</v>
      </c>
      <c r="H301" t="s">
        <v>33</v>
      </c>
      <c r="I301">
        <v>13</v>
      </c>
      <c r="J301" t="s">
        <v>40</v>
      </c>
      <c r="K301" t="s">
        <v>38</v>
      </c>
      <c r="L301">
        <v>1340.6</v>
      </c>
      <c r="M301">
        <v>6</v>
      </c>
      <c r="N301">
        <v>8043.6</v>
      </c>
    </row>
    <row r="302" spans="1:14" x14ac:dyDescent="0.3">
      <c r="A302">
        <v>301</v>
      </c>
      <c r="B302" s="37">
        <v>45586</v>
      </c>
      <c r="C302">
        <v>82</v>
      </c>
      <c r="D302" t="s">
        <v>35</v>
      </c>
      <c r="E302" t="s">
        <v>44</v>
      </c>
      <c r="F302">
        <v>58</v>
      </c>
      <c r="G302" t="s">
        <v>16</v>
      </c>
      <c r="H302" t="s">
        <v>17</v>
      </c>
      <c r="I302">
        <v>29</v>
      </c>
      <c r="J302" t="s">
        <v>65</v>
      </c>
      <c r="K302" t="s">
        <v>25</v>
      </c>
      <c r="L302">
        <v>1136.55</v>
      </c>
      <c r="M302">
        <v>2</v>
      </c>
      <c r="N302">
        <v>2273.1</v>
      </c>
    </row>
    <row r="303" spans="1:14" x14ac:dyDescent="0.3">
      <c r="A303">
        <v>302</v>
      </c>
      <c r="B303" s="37">
        <v>45384</v>
      </c>
      <c r="C303">
        <v>57</v>
      </c>
      <c r="D303" t="s">
        <v>72</v>
      </c>
      <c r="E303" t="s">
        <v>15</v>
      </c>
      <c r="F303">
        <v>29</v>
      </c>
      <c r="G303" t="s">
        <v>52</v>
      </c>
      <c r="H303" t="s">
        <v>53</v>
      </c>
      <c r="I303">
        <v>26</v>
      </c>
      <c r="J303" t="s">
        <v>54</v>
      </c>
      <c r="K303" t="s">
        <v>25</v>
      </c>
      <c r="L303">
        <v>803.73</v>
      </c>
      <c r="M303">
        <v>4</v>
      </c>
      <c r="N303">
        <v>3214.92</v>
      </c>
    </row>
    <row r="304" spans="1:14" x14ac:dyDescent="0.3">
      <c r="A304">
        <v>303</v>
      </c>
      <c r="B304" s="37">
        <v>45392</v>
      </c>
      <c r="C304">
        <v>36</v>
      </c>
      <c r="D304" t="s">
        <v>79</v>
      </c>
      <c r="E304" t="s">
        <v>47</v>
      </c>
      <c r="F304">
        <v>49</v>
      </c>
      <c r="G304" t="s">
        <v>32</v>
      </c>
      <c r="H304" t="s">
        <v>33</v>
      </c>
      <c r="I304">
        <v>26</v>
      </c>
      <c r="J304" t="s">
        <v>54</v>
      </c>
      <c r="K304" t="s">
        <v>25</v>
      </c>
      <c r="L304">
        <v>803.73</v>
      </c>
      <c r="M304">
        <v>6</v>
      </c>
      <c r="N304">
        <v>4822.38</v>
      </c>
    </row>
    <row r="305" spans="1:14" x14ac:dyDescent="0.3">
      <c r="A305">
        <v>304</v>
      </c>
      <c r="B305" s="37">
        <v>46012</v>
      </c>
      <c r="C305">
        <v>55</v>
      </c>
      <c r="D305" t="s">
        <v>63</v>
      </c>
      <c r="E305" t="s">
        <v>41</v>
      </c>
      <c r="F305">
        <v>39</v>
      </c>
      <c r="G305" t="s">
        <v>32</v>
      </c>
      <c r="H305" t="s">
        <v>33</v>
      </c>
      <c r="I305">
        <v>12</v>
      </c>
      <c r="J305" t="s">
        <v>37</v>
      </c>
      <c r="K305" t="s">
        <v>38</v>
      </c>
      <c r="L305">
        <v>1036.1199999999999</v>
      </c>
      <c r="M305">
        <v>1</v>
      </c>
      <c r="N305">
        <v>1036.1199999999999</v>
      </c>
    </row>
    <row r="306" spans="1:14" x14ac:dyDescent="0.3">
      <c r="A306">
        <v>305</v>
      </c>
      <c r="B306" s="37">
        <v>45746</v>
      </c>
      <c r="C306">
        <v>18</v>
      </c>
      <c r="D306" t="s">
        <v>79</v>
      </c>
      <c r="E306" t="s">
        <v>44</v>
      </c>
      <c r="F306">
        <v>28</v>
      </c>
      <c r="G306" t="s">
        <v>59</v>
      </c>
      <c r="H306" t="s">
        <v>33</v>
      </c>
      <c r="I306">
        <v>14</v>
      </c>
      <c r="J306" t="s">
        <v>81</v>
      </c>
      <c r="K306" t="s">
        <v>38</v>
      </c>
      <c r="L306">
        <v>1292.75</v>
      </c>
      <c r="M306">
        <v>2</v>
      </c>
      <c r="N306">
        <v>2585.5</v>
      </c>
    </row>
    <row r="307" spans="1:14" x14ac:dyDescent="0.3">
      <c r="A307">
        <v>306</v>
      </c>
      <c r="B307" s="37">
        <v>46002</v>
      </c>
      <c r="C307">
        <v>39</v>
      </c>
      <c r="D307" t="s">
        <v>39</v>
      </c>
      <c r="E307" t="s">
        <v>41</v>
      </c>
      <c r="F307">
        <v>49</v>
      </c>
      <c r="G307" t="s">
        <v>59</v>
      </c>
      <c r="H307" t="s">
        <v>33</v>
      </c>
      <c r="I307">
        <v>8</v>
      </c>
      <c r="J307" t="s">
        <v>78</v>
      </c>
      <c r="K307" t="s">
        <v>71</v>
      </c>
      <c r="L307">
        <v>1081.74</v>
      </c>
      <c r="M307">
        <v>3</v>
      </c>
      <c r="N307">
        <v>3245.22</v>
      </c>
    </row>
    <row r="308" spans="1:14" x14ac:dyDescent="0.3">
      <c r="A308">
        <v>307</v>
      </c>
      <c r="B308" s="37">
        <v>45321</v>
      </c>
      <c r="C308">
        <v>113</v>
      </c>
      <c r="D308" t="s">
        <v>30</v>
      </c>
      <c r="E308" t="s">
        <v>41</v>
      </c>
      <c r="F308">
        <v>29</v>
      </c>
      <c r="G308" t="s">
        <v>32</v>
      </c>
      <c r="H308" t="s">
        <v>33</v>
      </c>
      <c r="I308">
        <v>25</v>
      </c>
      <c r="J308" t="s">
        <v>61</v>
      </c>
      <c r="K308" t="s">
        <v>99</v>
      </c>
      <c r="L308">
        <v>705</v>
      </c>
      <c r="M308">
        <v>1</v>
      </c>
      <c r="N308">
        <v>705</v>
      </c>
    </row>
    <row r="309" spans="1:14" x14ac:dyDescent="0.3">
      <c r="A309">
        <v>308</v>
      </c>
      <c r="B309" s="37">
        <v>45624</v>
      </c>
      <c r="C309">
        <v>19</v>
      </c>
      <c r="D309" t="s">
        <v>72</v>
      </c>
      <c r="E309" t="s">
        <v>74</v>
      </c>
      <c r="F309">
        <v>42</v>
      </c>
      <c r="G309" t="s">
        <v>49</v>
      </c>
      <c r="H309" t="s">
        <v>50</v>
      </c>
      <c r="I309">
        <v>11</v>
      </c>
      <c r="J309" t="s">
        <v>55</v>
      </c>
      <c r="K309" t="s">
        <v>38</v>
      </c>
      <c r="L309">
        <v>234.14</v>
      </c>
      <c r="M309">
        <v>1</v>
      </c>
      <c r="N309">
        <v>234.14</v>
      </c>
    </row>
    <row r="310" spans="1:14" x14ac:dyDescent="0.3">
      <c r="A310">
        <v>309</v>
      </c>
      <c r="B310" s="37">
        <v>45592</v>
      </c>
      <c r="C310">
        <v>49</v>
      </c>
      <c r="D310" t="s">
        <v>39</v>
      </c>
      <c r="E310" t="s">
        <v>60</v>
      </c>
      <c r="F310">
        <v>33</v>
      </c>
      <c r="G310" t="s">
        <v>16</v>
      </c>
      <c r="H310" t="s">
        <v>17</v>
      </c>
      <c r="I310">
        <v>26</v>
      </c>
      <c r="J310" t="s">
        <v>54</v>
      </c>
      <c r="K310" t="s">
        <v>25</v>
      </c>
      <c r="L310">
        <v>803.73</v>
      </c>
      <c r="M310">
        <v>3</v>
      </c>
      <c r="N310">
        <v>2411.19</v>
      </c>
    </row>
    <row r="311" spans="1:14" x14ac:dyDescent="0.3">
      <c r="A311">
        <v>310</v>
      </c>
      <c r="B311" s="37">
        <v>45675</v>
      </c>
      <c r="C311">
        <v>115</v>
      </c>
      <c r="D311" t="s">
        <v>35</v>
      </c>
      <c r="E311" t="s">
        <v>15</v>
      </c>
      <c r="F311">
        <v>68</v>
      </c>
      <c r="G311" t="s">
        <v>22</v>
      </c>
      <c r="H311" t="s">
        <v>23</v>
      </c>
      <c r="I311">
        <v>15</v>
      </c>
      <c r="J311" t="s">
        <v>67</v>
      </c>
      <c r="K311" t="s">
        <v>38</v>
      </c>
      <c r="L311">
        <v>1329.92</v>
      </c>
      <c r="M311">
        <v>4</v>
      </c>
      <c r="N311">
        <v>5319.68</v>
      </c>
    </row>
    <row r="312" spans="1:14" x14ac:dyDescent="0.3">
      <c r="A312">
        <v>311</v>
      </c>
      <c r="B312" s="37">
        <v>45441</v>
      </c>
      <c r="C312">
        <v>72</v>
      </c>
      <c r="D312" t="s">
        <v>35</v>
      </c>
      <c r="E312" t="s">
        <v>36</v>
      </c>
      <c r="F312">
        <v>43</v>
      </c>
      <c r="G312" t="s">
        <v>16</v>
      </c>
      <c r="H312" t="s">
        <v>17</v>
      </c>
      <c r="I312">
        <v>29</v>
      </c>
      <c r="J312" t="s">
        <v>65</v>
      </c>
      <c r="K312" t="s">
        <v>25</v>
      </c>
      <c r="L312">
        <v>1136.55</v>
      </c>
      <c r="M312">
        <v>2</v>
      </c>
      <c r="N312">
        <v>2273.1</v>
      </c>
    </row>
    <row r="313" spans="1:14" x14ac:dyDescent="0.3">
      <c r="A313">
        <v>312</v>
      </c>
      <c r="B313" s="37">
        <v>45835</v>
      </c>
      <c r="C313">
        <v>75</v>
      </c>
      <c r="D313" t="s">
        <v>39</v>
      </c>
      <c r="E313" t="s">
        <v>60</v>
      </c>
      <c r="F313">
        <v>31</v>
      </c>
      <c r="G313" t="s">
        <v>59</v>
      </c>
      <c r="H313" t="s">
        <v>33</v>
      </c>
      <c r="I313">
        <v>2</v>
      </c>
      <c r="J313" t="s">
        <v>34</v>
      </c>
      <c r="K313" t="s">
        <v>29</v>
      </c>
      <c r="L313">
        <v>1476.14</v>
      </c>
      <c r="M313">
        <v>4</v>
      </c>
      <c r="N313">
        <v>5904.56</v>
      </c>
    </row>
    <row r="314" spans="1:14" x14ac:dyDescent="0.3">
      <c r="A314">
        <v>313</v>
      </c>
      <c r="B314" s="37">
        <v>45871</v>
      </c>
      <c r="C314">
        <v>50</v>
      </c>
      <c r="D314" t="s">
        <v>35</v>
      </c>
      <c r="E314" t="s">
        <v>60</v>
      </c>
      <c r="F314">
        <v>26</v>
      </c>
      <c r="G314" t="s">
        <v>52</v>
      </c>
      <c r="H314" t="s">
        <v>53</v>
      </c>
      <c r="I314">
        <v>15</v>
      </c>
      <c r="J314" t="s">
        <v>67</v>
      </c>
      <c r="K314" t="s">
        <v>38</v>
      </c>
      <c r="L314">
        <v>1329.92</v>
      </c>
      <c r="M314">
        <v>6</v>
      </c>
      <c r="N314">
        <v>7979.52</v>
      </c>
    </row>
    <row r="315" spans="1:14" x14ac:dyDescent="0.3">
      <c r="A315">
        <v>314</v>
      </c>
      <c r="B315" s="37">
        <v>45476</v>
      </c>
      <c r="C315">
        <v>13</v>
      </c>
      <c r="D315" t="s">
        <v>79</v>
      </c>
      <c r="E315" t="s">
        <v>31</v>
      </c>
      <c r="F315">
        <v>63</v>
      </c>
      <c r="G315" t="s">
        <v>16</v>
      </c>
      <c r="H315" t="s">
        <v>17</v>
      </c>
      <c r="I315">
        <v>24</v>
      </c>
      <c r="J315" t="s">
        <v>45</v>
      </c>
      <c r="K315" t="s">
        <v>19</v>
      </c>
      <c r="L315">
        <v>213.01</v>
      </c>
      <c r="M315">
        <v>2</v>
      </c>
      <c r="N315">
        <v>426.02</v>
      </c>
    </row>
    <row r="316" spans="1:14" x14ac:dyDescent="0.3">
      <c r="A316">
        <v>315</v>
      </c>
      <c r="B316" s="37">
        <v>45471</v>
      </c>
      <c r="C316">
        <v>99</v>
      </c>
      <c r="D316" t="s">
        <v>83</v>
      </c>
      <c r="E316" t="s">
        <v>74</v>
      </c>
      <c r="F316">
        <v>40</v>
      </c>
      <c r="G316" t="s">
        <v>49</v>
      </c>
      <c r="H316" t="s">
        <v>50</v>
      </c>
      <c r="I316">
        <v>5</v>
      </c>
      <c r="J316" t="s">
        <v>82</v>
      </c>
      <c r="K316" t="s">
        <v>29</v>
      </c>
      <c r="L316">
        <v>-691.29</v>
      </c>
      <c r="M316">
        <v>1</v>
      </c>
      <c r="N316">
        <v>691.29</v>
      </c>
    </row>
    <row r="317" spans="1:14" x14ac:dyDescent="0.3">
      <c r="A317">
        <v>316</v>
      </c>
      <c r="B317" s="37">
        <v>45916</v>
      </c>
      <c r="C317">
        <v>19</v>
      </c>
      <c r="D317" t="s">
        <v>72</v>
      </c>
      <c r="E317" t="s">
        <v>74</v>
      </c>
      <c r="F317">
        <v>42</v>
      </c>
      <c r="G317" t="s">
        <v>49</v>
      </c>
      <c r="H317" t="s">
        <v>50</v>
      </c>
      <c r="I317">
        <v>26</v>
      </c>
      <c r="J317" t="s">
        <v>54</v>
      </c>
      <c r="K317" t="s">
        <v>25</v>
      </c>
      <c r="L317">
        <v>803.73</v>
      </c>
      <c r="M317">
        <v>4</v>
      </c>
      <c r="N317">
        <v>3214.92</v>
      </c>
    </row>
    <row r="318" spans="1:14" x14ac:dyDescent="0.3">
      <c r="A318">
        <v>317</v>
      </c>
      <c r="B318" s="37">
        <v>45926</v>
      </c>
      <c r="C318">
        <v>42</v>
      </c>
      <c r="D318" t="s">
        <v>20</v>
      </c>
      <c r="E318" t="s">
        <v>21</v>
      </c>
      <c r="F318">
        <v>45</v>
      </c>
      <c r="G318" t="s">
        <v>22</v>
      </c>
      <c r="H318" t="s">
        <v>23</v>
      </c>
      <c r="I318">
        <v>22</v>
      </c>
      <c r="J318" t="s">
        <v>85</v>
      </c>
      <c r="K318" t="s">
        <v>19</v>
      </c>
      <c r="L318">
        <v>1377.44</v>
      </c>
      <c r="M318">
        <v>6</v>
      </c>
      <c r="N318">
        <v>8264.64</v>
      </c>
    </row>
    <row r="319" spans="1:14" x14ac:dyDescent="0.3">
      <c r="A319">
        <v>318</v>
      </c>
      <c r="B319" s="37">
        <v>45538</v>
      </c>
      <c r="C319">
        <v>86</v>
      </c>
      <c r="D319" t="s">
        <v>96</v>
      </c>
      <c r="E319" t="s">
        <v>36</v>
      </c>
      <c r="F319">
        <v>28</v>
      </c>
      <c r="G319" t="s">
        <v>52</v>
      </c>
      <c r="H319" t="s">
        <v>53</v>
      </c>
      <c r="I319">
        <v>30</v>
      </c>
      <c r="J319" t="s">
        <v>73</v>
      </c>
      <c r="K319" t="s">
        <v>25</v>
      </c>
      <c r="L319">
        <v>672.22</v>
      </c>
      <c r="M319">
        <v>4</v>
      </c>
      <c r="N319">
        <v>2688.88</v>
      </c>
    </row>
    <row r="320" spans="1:14" x14ac:dyDescent="0.3">
      <c r="A320">
        <v>319</v>
      </c>
      <c r="B320" s="37">
        <v>45889</v>
      </c>
      <c r="C320">
        <v>66</v>
      </c>
      <c r="D320" t="s">
        <v>26</v>
      </c>
      <c r="E320" t="s">
        <v>62</v>
      </c>
      <c r="F320">
        <v>55</v>
      </c>
      <c r="G320" t="s">
        <v>16</v>
      </c>
      <c r="H320" t="s">
        <v>17</v>
      </c>
      <c r="I320">
        <v>3</v>
      </c>
      <c r="J320" t="s">
        <v>28</v>
      </c>
      <c r="K320" t="s">
        <v>29</v>
      </c>
      <c r="L320">
        <v>922.74</v>
      </c>
      <c r="M320">
        <v>2</v>
      </c>
      <c r="N320">
        <v>1845.48</v>
      </c>
    </row>
    <row r="321" spans="1:14" x14ac:dyDescent="0.3">
      <c r="A321">
        <v>320</v>
      </c>
      <c r="B321" s="37">
        <v>45529</v>
      </c>
      <c r="C321">
        <v>13</v>
      </c>
      <c r="D321" t="s">
        <v>79</v>
      </c>
      <c r="E321" t="s">
        <v>31</v>
      </c>
      <c r="F321">
        <v>63</v>
      </c>
      <c r="G321" t="s">
        <v>16</v>
      </c>
      <c r="H321" t="s">
        <v>17</v>
      </c>
      <c r="I321">
        <v>26</v>
      </c>
      <c r="J321" t="s">
        <v>54</v>
      </c>
      <c r="K321" t="s">
        <v>97</v>
      </c>
      <c r="L321">
        <v>803.73</v>
      </c>
      <c r="M321">
        <v>4</v>
      </c>
      <c r="N321">
        <v>3214.92</v>
      </c>
    </row>
    <row r="322" spans="1:14" x14ac:dyDescent="0.3">
      <c r="A322">
        <v>321</v>
      </c>
      <c r="B322" s="37">
        <v>45945</v>
      </c>
      <c r="C322">
        <v>47</v>
      </c>
      <c r="D322" t="s">
        <v>79</v>
      </c>
      <c r="E322" t="s">
        <v>31</v>
      </c>
      <c r="F322">
        <v>18</v>
      </c>
      <c r="G322" t="s">
        <v>49</v>
      </c>
      <c r="H322" t="s">
        <v>50</v>
      </c>
      <c r="I322">
        <v>24</v>
      </c>
      <c r="J322" t="s">
        <v>45</v>
      </c>
      <c r="K322" t="s">
        <v>19</v>
      </c>
      <c r="L322">
        <v>213.01</v>
      </c>
      <c r="M322">
        <v>3</v>
      </c>
      <c r="N322">
        <v>639.03</v>
      </c>
    </row>
    <row r="323" spans="1:14" x14ac:dyDescent="0.3">
      <c r="A323">
        <v>322</v>
      </c>
      <c r="B323" s="37">
        <v>45762</v>
      </c>
      <c r="C323">
        <v>13</v>
      </c>
      <c r="D323" t="s">
        <v>79</v>
      </c>
      <c r="E323" t="s">
        <v>31</v>
      </c>
      <c r="F323">
        <v>63</v>
      </c>
      <c r="G323" t="s">
        <v>16</v>
      </c>
      <c r="H323" t="s">
        <v>17</v>
      </c>
      <c r="I323">
        <v>29</v>
      </c>
      <c r="J323" t="s">
        <v>65</v>
      </c>
      <c r="K323" t="s">
        <v>25</v>
      </c>
      <c r="L323">
        <v>1136.55</v>
      </c>
      <c r="M323">
        <v>3</v>
      </c>
      <c r="N323">
        <v>3409.65</v>
      </c>
    </row>
    <row r="324" spans="1:14" x14ac:dyDescent="0.3">
      <c r="A324">
        <v>323</v>
      </c>
      <c r="B324" s="37">
        <v>45974</v>
      </c>
      <c r="C324">
        <v>51</v>
      </c>
      <c r="D324" t="s">
        <v>35</v>
      </c>
      <c r="E324" t="s">
        <v>74</v>
      </c>
      <c r="F324">
        <v>69</v>
      </c>
      <c r="G324" t="s">
        <v>52</v>
      </c>
      <c r="H324" t="s">
        <v>53</v>
      </c>
      <c r="I324">
        <v>6</v>
      </c>
      <c r="J324" t="s">
        <v>86</v>
      </c>
      <c r="K324" t="s">
        <v>71</v>
      </c>
      <c r="L324">
        <v>1330.91</v>
      </c>
      <c r="M324">
        <v>1</v>
      </c>
      <c r="N324">
        <v>1330.91</v>
      </c>
    </row>
    <row r="325" spans="1:14" x14ac:dyDescent="0.3">
      <c r="A325">
        <v>324</v>
      </c>
      <c r="B325" s="37">
        <v>45768</v>
      </c>
      <c r="C325">
        <v>37</v>
      </c>
      <c r="D325" t="s">
        <v>51</v>
      </c>
      <c r="E325" t="s">
        <v>47</v>
      </c>
      <c r="F325">
        <v>69</v>
      </c>
      <c r="G325" t="s">
        <v>59</v>
      </c>
      <c r="H325" t="s">
        <v>33</v>
      </c>
      <c r="I325">
        <v>6</v>
      </c>
      <c r="J325" t="s">
        <v>86</v>
      </c>
      <c r="K325" t="s">
        <v>71</v>
      </c>
      <c r="L325">
        <v>1330.91</v>
      </c>
      <c r="M325">
        <v>3</v>
      </c>
      <c r="N325">
        <v>3992.73</v>
      </c>
    </row>
    <row r="326" spans="1:14" x14ac:dyDescent="0.3">
      <c r="A326">
        <v>325</v>
      </c>
      <c r="B326" s="37">
        <v>45985</v>
      </c>
      <c r="C326">
        <v>27</v>
      </c>
      <c r="D326" t="s">
        <v>39</v>
      </c>
      <c r="E326" t="s">
        <v>62</v>
      </c>
      <c r="F326">
        <v>25</v>
      </c>
      <c r="G326" t="s">
        <v>52</v>
      </c>
      <c r="H326" t="s">
        <v>53</v>
      </c>
      <c r="I326">
        <v>18</v>
      </c>
      <c r="J326" t="s">
        <v>68</v>
      </c>
      <c r="K326" t="s">
        <v>43</v>
      </c>
      <c r="L326">
        <v>-1209.0999999999999</v>
      </c>
      <c r="M326">
        <v>5</v>
      </c>
      <c r="N326">
        <v>6045.5</v>
      </c>
    </row>
    <row r="327" spans="1:14" x14ac:dyDescent="0.3">
      <c r="A327">
        <v>326</v>
      </c>
      <c r="B327" s="37">
        <v>45453</v>
      </c>
      <c r="C327">
        <v>110</v>
      </c>
      <c r="D327" t="s">
        <v>46</v>
      </c>
      <c r="E327" t="s">
        <v>36</v>
      </c>
      <c r="F327">
        <v>50</v>
      </c>
      <c r="G327" t="s">
        <v>59</v>
      </c>
      <c r="H327" t="s">
        <v>33</v>
      </c>
      <c r="I327">
        <v>18</v>
      </c>
      <c r="J327" t="s">
        <v>68</v>
      </c>
      <c r="K327" t="s">
        <v>43</v>
      </c>
      <c r="L327">
        <v>1209.0999999999999</v>
      </c>
      <c r="M327">
        <v>1</v>
      </c>
      <c r="N327">
        <v>1209.0999999999999</v>
      </c>
    </row>
    <row r="328" spans="1:14" x14ac:dyDescent="0.3">
      <c r="A328">
        <v>327</v>
      </c>
      <c r="B328" s="37">
        <v>45744</v>
      </c>
      <c r="C328">
        <v>37</v>
      </c>
      <c r="D328" t="s">
        <v>51</v>
      </c>
      <c r="E328" t="s">
        <v>47</v>
      </c>
      <c r="F328">
        <v>69</v>
      </c>
      <c r="G328" t="s">
        <v>59</v>
      </c>
      <c r="H328" t="s">
        <v>33</v>
      </c>
      <c r="I328">
        <v>7</v>
      </c>
      <c r="J328" t="s">
        <v>80</v>
      </c>
      <c r="K328" t="s">
        <v>71</v>
      </c>
      <c r="L328">
        <v>869.87</v>
      </c>
      <c r="M328">
        <v>3</v>
      </c>
      <c r="N328">
        <v>2609.61</v>
      </c>
    </row>
    <row r="329" spans="1:14" x14ac:dyDescent="0.3">
      <c r="A329">
        <v>328</v>
      </c>
      <c r="B329" s="37">
        <v>45893</v>
      </c>
      <c r="C329">
        <v>65</v>
      </c>
      <c r="D329" t="s">
        <v>79</v>
      </c>
      <c r="E329" t="s">
        <v>41</v>
      </c>
      <c r="F329">
        <v>52</v>
      </c>
      <c r="G329" t="s">
        <v>32</v>
      </c>
      <c r="H329" t="s">
        <v>33</v>
      </c>
      <c r="I329">
        <v>6</v>
      </c>
      <c r="J329" t="s">
        <v>86</v>
      </c>
      <c r="K329" t="s">
        <v>71</v>
      </c>
      <c r="L329">
        <v>1330.91</v>
      </c>
      <c r="M329">
        <v>3</v>
      </c>
      <c r="N329">
        <v>3992.73</v>
      </c>
    </row>
    <row r="330" spans="1:14" x14ac:dyDescent="0.3">
      <c r="A330">
        <v>329</v>
      </c>
      <c r="B330" s="37">
        <v>45946</v>
      </c>
      <c r="C330">
        <v>15</v>
      </c>
      <c r="D330" t="s">
        <v>83</v>
      </c>
      <c r="E330" t="s">
        <v>31</v>
      </c>
      <c r="F330">
        <v>24</v>
      </c>
      <c r="G330" t="s">
        <v>59</v>
      </c>
      <c r="H330" t="s">
        <v>33</v>
      </c>
      <c r="I330">
        <v>3</v>
      </c>
      <c r="J330" t="s">
        <v>28</v>
      </c>
      <c r="K330" t="s">
        <v>29</v>
      </c>
      <c r="L330">
        <v>922.74</v>
      </c>
      <c r="M330">
        <v>4</v>
      </c>
      <c r="N330">
        <v>3690.96</v>
      </c>
    </row>
    <row r="331" spans="1:14" x14ac:dyDescent="0.3">
      <c r="A331">
        <v>330</v>
      </c>
      <c r="B331" s="37">
        <v>45998</v>
      </c>
      <c r="C331">
        <v>23</v>
      </c>
      <c r="D331" t="s">
        <v>35</v>
      </c>
      <c r="E331" t="s">
        <v>44</v>
      </c>
      <c r="F331">
        <v>49</v>
      </c>
      <c r="G331" t="s">
        <v>16</v>
      </c>
      <c r="H331" t="s">
        <v>17</v>
      </c>
      <c r="I331">
        <v>29</v>
      </c>
      <c r="J331" t="s">
        <v>65</v>
      </c>
      <c r="K331" t="s">
        <v>25</v>
      </c>
      <c r="L331">
        <v>1136.55</v>
      </c>
      <c r="M331">
        <v>3</v>
      </c>
      <c r="N331">
        <v>3409.65</v>
      </c>
    </row>
    <row r="332" spans="1:14" x14ac:dyDescent="0.3">
      <c r="A332">
        <v>331</v>
      </c>
      <c r="B332" s="37">
        <v>45759</v>
      </c>
      <c r="C332">
        <v>3</v>
      </c>
      <c r="D332" t="s">
        <v>79</v>
      </c>
      <c r="E332" t="s">
        <v>15</v>
      </c>
      <c r="F332">
        <v>20</v>
      </c>
      <c r="G332" t="s">
        <v>59</v>
      </c>
      <c r="H332" t="s">
        <v>33</v>
      </c>
      <c r="I332">
        <v>15</v>
      </c>
      <c r="J332" t="s">
        <v>67</v>
      </c>
      <c r="K332" t="s">
        <v>38</v>
      </c>
      <c r="L332">
        <v>1329.92</v>
      </c>
      <c r="M332">
        <v>3</v>
      </c>
      <c r="N332">
        <v>3989.76</v>
      </c>
    </row>
    <row r="333" spans="1:14" x14ac:dyDescent="0.3">
      <c r="A333">
        <v>332</v>
      </c>
      <c r="B333" s="37">
        <v>45495</v>
      </c>
      <c r="C333">
        <v>62</v>
      </c>
      <c r="D333" t="s">
        <v>72</v>
      </c>
      <c r="E333" t="s">
        <v>15</v>
      </c>
      <c r="F333">
        <v>18</v>
      </c>
      <c r="G333" t="s">
        <v>32</v>
      </c>
      <c r="H333" t="s">
        <v>33</v>
      </c>
      <c r="I333">
        <v>26</v>
      </c>
      <c r="J333" t="s">
        <v>54</v>
      </c>
      <c r="K333" t="s">
        <v>25</v>
      </c>
      <c r="L333">
        <v>803.73</v>
      </c>
      <c r="M333">
        <v>4</v>
      </c>
      <c r="N333">
        <v>3214.92</v>
      </c>
    </row>
    <row r="334" spans="1:14" x14ac:dyDescent="0.3">
      <c r="A334">
        <v>333</v>
      </c>
      <c r="B334" s="37">
        <v>45786</v>
      </c>
      <c r="C334">
        <v>29</v>
      </c>
      <c r="D334" t="s">
        <v>63</v>
      </c>
      <c r="E334" t="s">
        <v>15</v>
      </c>
      <c r="F334">
        <v>56</v>
      </c>
      <c r="G334" t="s">
        <v>59</v>
      </c>
      <c r="H334" t="s">
        <v>33</v>
      </c>
      <c r="I334">
        <v>23</v>
      </c>
      <c r="J334" t="s">
        <v>18</v>
      </c>
      <c r="K334" t="s">
        <v>19</v>
      </c>
      <c r="L334">
        <v>195.22</v>
      </c>
      <c r="M334">
        <v>1</v>
      </c>
      <c r="N334">
        <v>195.22</v>
      </c>
    </row>
    <row r="335" spans="1:14" x14ac:dyDescent="0.3">
      <c r="A335">
        <v>334</v>
      </c>
      <c r="B335" s="37">
        <v>45534</v>
      </c>
      <c r="C335">
        <v>17</v>
      </c>
      <c r="D335" t="s">
        <v>36</v>
      </c>
      <c r="E335" t="s">
        <v>31</v>
      </c>
      <c r="F335">
        <v>60</v>
      </c>
      <c r="G335" t="s">
        <v>16</v>
      </c>
      <c r="H335" t="s">
        <v>17</v>
      </c>
      <c r="I335">
        <v>16</v>
      </c>
      <c r="J335" t="s">
        <v>64</v>
      </c>
      <c r="K335" t="s">
        <v>43</v>
      </c>
      <c r="L335">
        <v>1170.95</v>
      </c>
      <c r="M335">
        <v>4</v>
      </c>
      <c r="N335">
        <v>4683.8</v>
      </c>
    </row>
    <row r="336" spans="1:14" x14ac:dyDescent="0.3">
      <c r="A336">
        <v>335</v>
      </c>
      <c r="B336" s="37">
        <v>45877</v>
      </c>
      <c r="C336">
        <v>31</v>
      </c>
      <c r="D336" t="s">
        <v>30</v>
      </c>
      <c r="E336" t="s">
        <v>60</v>
      </c>
      <c r="F336">
        <v>66</v>
      </c>
      <c r="G336" t="s">
        <v>59</v>
      </c>
      <c r="H336" t="s">
        <v>33</v>
      </c>
      <c r="I336">
        <v>22</v>
      </c>
      <c r="J336" t="s">
        <v>85</v>
      </c>
      <c r="K336" t="s">
        <v>19</v>
      </c>
      <c r="L336">
        <v>1377.44</v>
      </c>
      <c r="M336">
        <v>3</v>
      </c>
      <c r="N336">
        <v>4132.32</v>
      </c>
    </row>
    <row r="337" spans="1:14" x14ac:dyDescent="0.3">
      <c r="A337">
        <v>336</v>
      </c>
      <c r="B337" s="37">
        <v>45880</v>
      </c>
      <c r="C337">
        <v>64</v>
      </c>
      <c r="D337" t="s">
        <v>72</v>
      </c>
      <c r="E337" t="s">
        <v>31</v>
      </c>
      <c r="F337">
        <v>36</v>
      </c>
      <c r="G337" t="s">
        <v>52</v>
      </c>
      <c r="H337" t="s">
        <v>53</v>
      </c>
      <c r="I337">
        <v>12</v>
      </c>
      <c r="J337" t="s">
        <v>37</v>
      </c>
      <c r="K337" t="s">
        <v>38</v>
      </c>
      <c r="L337">
        <v>1036.1199999999999</v>
      </c>
      <c r="M337">
        <v>3</v>
      </c>
      <c r="N337">
        <v>3108.36</v>
      </c>
    </row>
    <row r="338" spans="1:14" x14ac:dyDescent="0.3">
      <c r="A338">
        <v>337</v>
      </c>
      <c r="B338" s="37">
        <v>46008</v>
      </c>
      <c r="C338">
        <v>2</v>
      </c>
      <c r="D338" t="s">
        <v>72</v>
      </c>
      <c r="E338" t="s">
        <v>41</v>
      </c>
      <c r="F338">
        <v>24</v>
      </c>
      <c r="G338" t="s">
        <v>49</v>
      </c>
      <c r="H338" t="s">
        <v>50</v>
      </c>
      <c r="I338">
        <v>5</v>
      </c>
      <c r="J338" t="s">
        <v>82</v>
      </c>
      <c r="K338" t="s">
        <v>29</v>
      </c>
      <c r="L338">
        <v>691.29</v>
      </c>
      <c r="M338">
        <v>3</v>
      </c>
      <c r="N338">
        <v>2073.87</v>
      </c>
    </row>
    <row r="339" spans="1:14" x14ac:dyDescent="0.3">
      <c r="A339">
        <v>338</v>
      </c>
      <c r="B339" s="37">
        <v>45314</v>
      </c>
      <c r="C339">
        <v>95</v>
      </c>
      <c r="D339" t="s">
        <v>51</v>
      </c>
      <c r="E339" t="s">
        <v>15</v>
      </c>
      <c r="F339">
        <v>19</v>
      </c>
      <c r="G339" t="s">
        <v>52</v>
      </c>
      <c r="H339" t="s">
        <v>53</v>
      </c>
      <c r="I339">
        <v>21</v>
      </c>
      <c r="J339" t="s">
        <v>66</v>
      </c>
      <c r="K339" t="s">
        <v>19</v>
      </c>
      <c r="L339">
        <v>842.75</v>
      </c>
      <c r="M339">
        <v>6</v>
      </c>
      <c r="N339">
        <v>5056.5</v>
      </c>
    </row>
    <row r="340" spans="1:14" x14ac:dyDescent="0.3">
      <c r="A340">
        <v>339</v>
      </c>
      <c r="B340" s="37">
        <v>45697</v>
      </c>
      <c r="C340">
        <v>36</v>
      </c>
      <c r="D340" t="s">
        <v>79</v>
      </c>
      <c r="E340" t="s">
        <v>47</v>
      </c>
      <c r="F340">
        <v>49</v>
      </c>
      <c r="G340" t="s">
        <v>32</v>
      </c>
      <c r="H340" t="s">
        <v>33</v>
      </c>
      <c r="I340">
        <v>27</v>
      </c>
      <c r="J340" t="s">
        <v>24</v>
      </c>
      <c r="K340" t="s">
        <v>25</v>
      </c>
      <c r="L340">
        <v>845</v>
      </c>
      <c r="M340">
        <v>3</v>
      </c>
      <c r="N340">
        <v>2535</v>
      </c>
    </row>
    <row r="341" spans="1:14" x14ac:dyDescent="0.3">
      <c r="A341">
        <v>340</v>
      </c>
      <c r="B341" s="37">
        <v>45300</v>
      </c>
      <c r="C341">
        <v>64</v>
      </c>
      <c r="D341" t="s">
        <v>72</v>
      </c>
      <c r="E341" t="s">
        <v>31</v>
      </c>
      <c r="F341">
        <v>36</v>
      </c>
      <c r="G341" t="s">
        <v>52</v>
      </c>
      <c r="H341" t="s">
        <v>53</v>
      </c>
      <c r="I341">
        <v>7</v>
      </c>
      <c r="J341" t="s">
        <v>80</v>
      </c>
      <c r="K341" t="s">
        <v>71</v>
      </c>
      <c r="L341">
        <v>869.87</v>
      </c>
      <c r="M341">
        <v>5</v>
      </c>
      <c r="N341">
        <v>4349.3500000000004</v>
      </c>
    </row>
    <row r="342" spans="1:14" x14ac:dyDescent="0.3">
      <c r="A342">
        <v>341</v>
      </c>
      <c r="B342" s="37">
        <v>45994</v>
      </c>
      <c r="C342">
        <v>28</v>
      </c>
      <c r="D342" t="s">
        <v>14</v>
      </c>
      <c r="E342" t="s">
        <v>44</v>
      </c>
      <c r="F342">
        <v>45</v>
      </c>
      <c r="G342" t="s">
        <v>52</v>
      </c>
      <c r="H342" t="s">
        <v>53</v>
      </c>
      <c r="I342">
        <v>29</v>
      </c>
      <c r="J342" t="s">
        <v>65</v>
      </c>
      <c r="K342" t="s">
        <v>25</v>
      </c>
      <c r="L342">
        <v>1136.55</v>
      </c>
      <c r="M342">
        <v>6</v>
      </c>
      <c r="N342">
        <v>6819.3</v>
      </c>
    </row>
    <row r="343" spans="1:14" x14ac:dyDescent="0.3">
      <c r="A343">
        <v>342</v>
      </c>
      <c r="B343" s="37">
        <v>45342</v>
      </c>
      <c r="C343">
        <v>65</v>
      </c>
      <c r="D343" t="s">
        <v>94</v>
      </c>
      <c r="E343" t="s">
        <v>41</v>
      </c>
      <c r="F343">
        <v>52</v>
      </c>
      <c r="G343" t="s">
        <v>32</v>
      </c>
      <c r="H343" t="s">
        <v>33</v>
      </c>
      <c r="I343">
        <v>2</v>
      </c>
      <c r="J343" t="s">
        <v>34</v>
      </c>
      <c r="K343" t="s">
        <v>29</v>
      </c>
      <c r="L343">
        <v>1476.14</v>
      </c>
      <c r="M343">
        <v>5</v>
      </c>
      <c r="N343">
        <v>7380.7</v>
      </c>
    </row>
    <row r="344" spans="1:14" x14ac:dyDescent="0.3">
      <c r="A344">
        <v>343</v>
      </c>
      <c r="B344" s="37">
        <v>45800</v>
      </c>
      <c r="C344">
        <v>97</v>
      </c>
      <c r="D344" t="s">
        <v>56</v>
      </c>
      <c r="E344" t="s">
        <v>57</v>
      </c>
      <c r="F344">
        <v>68</v>
      </c>
      <c r="G344" t="s">
        <v>49</v>
      </c>
      <c r="H344" t="s">
        <v>50</v>
      </c>
      <c r="I344">
        <v>7</v>
      </c>
      <c r="J344" t="s">
        <v>80</v>
      </c>
      <c r="K344" t="s">
        <v>71</v>
      </c>
      <c r="L344">
        <v>869.87</v>
      </c>
      <c r="M344">
        <v>3</v>
      </c>
      <c r="N344">
        <v>2609.61</v>
      </c>
    </row>
    <row r="345" spans="1:14" x14ac:dyDescent="0.3">
      <c r="A345">
        <v>344</v>
      </c>
      <c r="B345" s="37">
        <v>45527</v>
      </c>
      <c r="C345">
        <v>33</v>
      </c>
      <c r="D345" t="s">
        <v>26</v>
      </c>
      <c r="E345" t="s">
        <v>41</v>
      </c>
      <c r="F345">
        <v>64</v>
      </c>
      <c r="G345" t="s">
        <v>52</v>
      </c>
      <c r="H345" t="s">
        <v>53</v>
      </c>
      <c r="I345">
        <v>18</v>
      </c>
      <c r="J345" t="s">
        <v>68</v>
      </c>
      <c r="K345" t="s">
        <v>43</v>
      </c>
      <c r="L345">
        <v>1209.0999999999999</v>
      </c>
      <c r="M345">
        <v>5</v>
      </c>
      <c r="N345">
        <v>6045.5</v>
      </c>
    </row>
    <row r="346" spans="1:14" x14ac:dyDescent="0.3">
      <c r="A346">
        <v>345</v>
      </c>
      <c r="B346" s="37">
        <v>45652</v>
      </c>
      <c r="C346">
        <v>14</v>
      </c>
      <c r="D346" t="s">
        <v>30</v>
      </c>
      <c r="E346" t="s">
        <v>31</v>
      </c>
      <c r="F346">
        <v>67</v>
      </c>
      <c r="G346" t="s">
        <v>32</v>
      </c>
      <c r="H346" t="s">
        <v>33</v>
      </c>
      <c r="I346">
        <v>18</v>
      </c>
      <c r="J346" t="s">
        <v>68</v>
      </c>
      <c r="K346" t="s">
        <v>43</v>
      </c>
      <c r="L346">
        <v>1209.0999999999999</v>
      </c>
      <c r="M346">
        <v>2</v>
      </c>
      <c r="N346">
        <v>2418.1999999999998</v>
      </c>
    </row>
    <row r="347" spans="1:14" x14ac:dyDescent="0.3">
      <c r="A347">
        <v>346</v>
      </c>
      <c r="B347" s="37">
        <v>45943</v>
      </c>
      <c r="C347">
        <v>72</v>
      </c>
      <c r="D347" t="s">
        <v>35</v>
      </c>
      <c r="E347" t="s">
        <v>36</v>
      </c>
      <c r="F347">
        <v>43</v>
      </c>
      <c r="G347" t="s">
        <v>16</v>
      </c>
      <c r="H347" t="s">
        <v>17</v>
      </c>
      <c r="I347">
        <v>27</v>
      </c>
      <c r="J347" t="s">
        <v>24</v>
      </c>
      <c r="K347" t="s">
        <v>99</v>
      </c>
      <c r="L347">
        <v>845</v>
      </c>
      <c r="M347">
        <v>2</v>
      </c>
      <c r="N347">
        <v>1690</v>
      </c>
    </row>
    <row r="348" spans="1:14" x14ac:dyDescent="0.3">
      <c r="A348">
        <v>347</v>
      </c>
      <c r="B348" s="37">
        <v>45927</v>
      </c>
      <c r="C348">
        <v>42</v>
      </c>
      <c r="D348" t="s">
        <v>20</v>
      </c>
      <c r="E348" t="s">
        <v>21</v>
      </c>
      <c r="F348">
        <v>45</v>
      </c>
      <c r="G348" t="s">
        <v>22</v>
      </c>
      <c r="H348" t="s">
        <v>23</v>
      </c>
      <c r="I348">
        <v>5</v>
      </c>
      <c r="J348" t="s">
        <v>82</v>
      </c>
      <c r="K348" t="s">
        <v>29</v>
      </c>
      <c r="L348">
        <v>691.29</v>
      </c>
      <c r="M348">
        <v>3</v>
      </c>
      <c r="N348">
        <v>2073.87</v>
      </c>
    </row>
    <row r="349" spans="1:14" x14ac:dyDescent="0.3">
      <c r="A349">
        <v>348</v>
      </c>
      <c r="B349" s="37">
        <v>45986</v>
      </c>
      <c r="C349">
        <v>56</v>
      </c>
      <c r="D349" t="s">
        <v>35</v>
      </c>
      <c r="E349" t="s">
        <v>31</v>
      </c>
      <c r="F349">
        <v>30</v>
      </c>
      <c r="G349" t="s">
        <v>59</v>
      </c>
      <c r="H349" t="s">
        <v>33</v>
      </c>
      <c r="I349">
        <v>25</v>
      </c>
      <c r="J349" t="s">
        <v>61</v>
      </c>
      <c r="K349" t="s">
        <v>19</v>
      </c>
      <c r="L349">
        <v>705</v>
      </c>
      <c r="M349">
        <v>6</v>
      </c>
      <c r="N349">
        <v>4230</v>
      </c>
    </row>
    <row r="350" spans="1:14" x14ac:dyDescent="0.3">
      <c r="A350">
        <v>349</v>
      </c>
      <c r="B350" s="37">
        <v>45967</v>
      </c>
      <c r="C350">
        <v>12</v>
      </c>
      <c r="D350" t="s">
        <v>39</v>
      </c>
      <c r="E350" t="s">
        <v>60</v>
      </c>
      <c r="F350">
        <v>36</v>
      </c>
      <c r="G350" t="s">
        <v>32</v>
      </c>
      <c r="H350" t="s">
        <v>33</v>
      </c>
      <c r="I350">
        <v>24</v>
      </c>
      <c r="J350" t="s">
        <v>45</v>
      </c>
      <c r="K350" t="s">
        <v>19</v>
      </c>
      <c r="L350">
        <v>213.01</v>
      </c>
      <c r="M350">
        <v>6</v>
      </c>
      <c r="N350">
        <v>1278.06</v>
      </c>
    </row>
    <row r="351" spans="1:14" x14ac:dyDescent="0.3">
      <c r="A351">
        <v>350</v>
      </c>
      <c r="B351" s="37">
        <v>45432</v>
      </c>
      <c r="C351">
        <v>55</v>
      </c>
      <c r="D351" t="s">
        <v>63</v>
      </c>
      <c r="E351" t="s">
        <v>41</v>
      </c>
      <c r="F351">
        <v>39</v>
      </c>
      <c r="G351" t="s">
        <v>32</v>
      </c>
      <c r="H351" t="s">
        <v>33</v>
      </c>
      <c r="I351">
        <v>23</v>
      </c>
      <c r="J351" t="s">
        <v>18</v>
      </c>
      <c r="K351" t="s">
        <v>19</v>
      </c>
      <c r="L351">
        <v>195.22</v>
      </c>
      <c r="M351">
        <v>6</v>
      </c>
      <c r="N351">
        <v>1171.32</v>
      </c>
    </row>
    <row r="352" spans="1:14" x14ac:dyDescent="0.3">
      <c r="A352">
        <v>351</v>
      </c>
      <c r="B352" s="37">
        <v>45391</v>
      </c>
      <c r="C352">
        <v>19</v>
      </c>
      <c r="D352" t="s">
        <v>72</v>
      </c>
      <c r="E352" t="s">
        <v>74</v>
      </c>
      <c r="F352">
        <v>42</v>
      </c>
      <c r="G352" t="s">
        <v>49</v>
      </c>
      <c r="H352" t="s">
        <v>50</v>
      </c>
      <c r="I352">
        <v>26</v>
      </c>
      <c r="J352" t="s">
        <v>54</v>
      </c>
      <c r="K352" t="s">
        <v>25</v>
      </c>
      <c r="L352">
        <v>803.73</v>
      </c>
      <c r="M352">
        <v>6</v>
      </c>
      <c r="N352">
        <v>4822.38</v>
      </c>
    </row>
    <row r="353" spans="1:14" x14ac:dyDescent="0.3">
      <c r="A353">
        <v>352</v>
      </c>
      <c r="B353" s="37">
        <v>45953</v>
      </c>
      <c r="C353">
        <v>53</v>
      </c>
      <c r="D353" t="s">
        <v>63</v>
      </c>
      <c r="E353" t="s">
        <v>15</v>
      </c>
      <c r="F353">
        <v>47</v>
      </c>
      <c r="G353" t="s">
        <v>16</v>
      </c>
      <c r="H353" t="s">
        <v>17</v>
      </c>
      <c r="I353">
        <v>25</v>
      </c>
      <c r="J353" t="s">
        <v>61</v>
      </c>
      <c r="K353" t="s">
        <v>19</v>
      </c>
      <c r="L353">
        <v>705</v>
      </c>
      <c r="M353">
        <v>1</v>
      </c>
      <c r="N353">
        <v>705</v>
      </c>
    </row>
    <row r="354" spans="1:14" x14ac:dyDescent="0.3">
      <c r="A354">
        <v>353</v>
      </c>
      <c r="B354" s="37">
        <v>45608</v>
      </c>
      <c r="C354">
        <v>51</v>
      </c>
      <c r="D354" t="s">
        <v>35</v>
      </c>
      <c r="E354" t="s">
        <v>74</v>
      </c>
      <c r="F354">
        <v>69</v>
      </c>
      <c r="G354" t="s">
        <v>52</v>
      </c>
      <c r="H354" t="s">
        <v>53</v>
      </c>
      <c r="I354">
        <v>12</v>
      </c>
      <c r="J354" t="s">
        <v>37</v>
      </c>
      <c r="K354" t="s">
        <v>38</v>
      </c>
      <c r="L354">
        <v>1036.1199999999999</v>
      </c>
      <c r="M354">
        <v>4</v>
      </c>
      <c r="N354">
        <v>4144.4799999999996</v>
      </c>
    </row>
    <row r="355" spans="1:14" x14ac:dyDescent="0.3">
      <c r="A355">
        <v>354</v>
      </c>
      <c r="B355" s="37">
        <v>45326</v>
      </c>
      <c r="C355">
        <v>25</v>
      </c>
      <c r="D355" t="s">
        <v>46</v>
      </c>
      <c r="E355" t="s">
        <v>21</v>
      </c>
      <c r="F355">
        <v>45</v>
      </c>
      <c r="G355" t="s">
        <v>22</v>
      </c>
      <c r="H355" t="s">
        <v>23</v>
      </c>
      <c r="I355">
        <v>23</v>
      </c>
      <c r="J355" t="s">
        <v>18</v>
      </c>
      <c r="K355" t="s">
        <v>19</v>
      </c>
      <c r="L355">
        <v>195.22</v>
      </c>
      <c r="M355">
        <v>5</v>
      </c>
      <c r="N355">
        <v>976.1</v>
      </c>
    </row>
    <row r="356" spans="1:14" x14ac:dyDescent="0.3">
      <c r="A356">
        <v>355</v>
      </c>
      <c r="B356" s="37">
        <v>45665</v>
      </c>
      <c r="C356">
        <v>72</v>
      </c>
      <c r="D356" t="s">
        <v>35</v>
      </c>
      <c r="E356" t="s">
        <v>36</v>
      </c>
      <c r="F356">
        <v>43</v>
      </c>
      <c r="G356" t="s">
        <v>16</v>
      </c>
      <c r="H356" t="s">
        <v>17</v>
      </c>
      <c r="I356">
        <v>22</v>
      </c>
      <c r="J356" t="s">
        <v>85</v>
      </c>
      <c r="K356" t="s">
        <v>19</v>
      </c>
      <c r="L356">
        <v>1377.44</v>
      </c>
      <c r="M356">
        <v>6</v>
      </c>
      <c r="N356">
        <v>8264.64</v>
      </c>
    </row>
    <row r="357" spans="1:14" x14ac:dyDescent="0.3">
      <c r="A357">
        <v>356</v>
      </c>
      <c r="B357" s="37">
        <v>45426</v>
      </c>
      <c r="C357">
        <v>105</v>
      </c>
      <c r="D357" t="s">
        <v>46</v>
      </c>
      <c r="E357" t="s">
        <v>47</v>
      </c>
      <c r="F357">
        <v>45</v>
      </c>
      <c r="G357" t="s">
        <v>16</v>
      </c>
      <c r="H357" t="s">
        <v>17</v>
      </c>
      <c r="I357">
        <v>6</v>
      </c>
      <c r="J357" t="s">
        <v>86</v>
      </c>
      <c r="K357" t="s">
        <v>71</v>
      </c>
      <c r="L357">
        <v>1330.91</v>
      </c>
      <c r="M357">
        <v>1</v>
      </c>
      <c r="N357">
        <v>1330.91</v>
      </c>
    </row>
    <row r="358" spans="1:14" x14ac:dyDescent="0.3">
      <c r="A358">
        <v>357</v>
      </c>
      <c r="B358" s="37">
        <v>45594</v>
      </c>
      <c r="C358">
        <v>87</v>
      </c>
      <c r="D358" t="s">
        <v>20</v>
      </c>
      <c r="E358" t="s">
        <v>41</v>
      </c>
      <c r="F358">
        <v>45</v>
      </c>
      <c r="G358" t="s">
        <v>52</v>
      </c>
      <c r="H358" t="s">
        <v>53</v>
      </c>
      <c r="I358">
        <v>25</v>
      </c>
      <c r="J358" t="s">
        <v>61</v>
      </c>
      <c r="K358" t="s">
        <v>19</v>
      </c>
      <c r="L358">
        <v>705</v>
      </c>
      <c r="M358">
        <v>3</v>
      </c>
      <c r="N358">
        <v>2115</v>
      </c>
    </row>
    <row r="359" spans="1:14" x14ac:dyDescent="0.3">
      <c r="A359">
        <v>358</v>
      </c>
      <c r="B359" s="37">
        <v>45717</v>
      </c>
      <c r="C359">
        <v>78</v>
      </c>
      <c r="D359" t="s">
        <v>79</v>
      </c>
      <c r="E359" t="s">
        <v>44</v>
      </c>
      <c r="F359">
        <v>51</v>
      </c>
      <c r="G359" t="s">
        <v>22</v>
      </c>
      <c r="H359" t="s">
        <v>23</v>
      </c>
      <c r="I359">
        <v>2</v>
      </c>
      <c r="J359" t="s">
        <v>34</v>
      </c>
      <c r="K359" t="s">
        <v>29</v>
      </c>
      <c r="L359">
        <v>1476.14</v>
      </c>
      <c r="M359">
        <v>2</v>
      </c>
      <c r="N359">
        <v>2952.28</v>
      </c>
    </row>
    <row r="360" spans="1:14" x14ac:dyDescent="0.3">
      <c r="A360">
        <v>359</v>
      </c>
      <c r="B360" s="37">
        <v>45497</v>
      </c>
      <c r="C360">
        <v>67</v>
      </c>
      <c r="D360" t="s">
        <v>26</v>
      </c>
      <c r="E360" t="s">
        <v>60</v>
      </c>
      <c r="F360">
        <v>23</v>
      </c>
      <c r="G360" t="s">
        <v>52</v>
      </c>
      <c r="H360" t="s">
        <v>53</v>
      </c>
      <c r="I360">
        <v>19</v>
      </c>
      <c r="J360" t="s">
        <v>84</v>
      </c>
      <c r="K360" t="s">
        <v>43</v>
      </c>
      <c r="L360">
        <v>1048.43</v>
      </c>
      <c r="M360">
        <v>2</v>
      </c>
      <c r="N360">
        <v>2096.86</v>
      </c>
    </row>
    <row r="361" spans="1:14" x14ac:dyDescent="0.3">
      <c r="A361">
        <v>360</v>
      </c>
      <c r="B361" s="37">
        <v>45844</v>
      </c>
      <c r="C361">
        <v>28</v>
      </c>
      <c r="D361" t="s">
        <v>14</v>
      </c>
      <c r="E361" t="s">
        <v>44</v>
      </c>
      <c r="F361">
        <v>45</v>
      </c>
      <c r="G361" t="s">
        <v>52</v>
      </c>
      <c r="H361" t="s">
        <v>53</v>
      </c>
      <c r="I361">
        <v>21</v>
      </c>
      <c r="J361" t="s">
        <v>66</v>
      </c>
      <c r="K361" t="s">
        <v>19</v>
      </c>
      <c r="L361">
        <v>842.75</v>
      </c>
      <c r="M361">
        <v>3</v>
      </c>
      <c r="N361">
        <v>2528.25</v>
      </c>
    </row>
    <row r="362" spans="1:14" x14ac:dyDescent="0.3">
      <c r="A362">
        <v>361</v>
      </c>
      <c r="B362" s="37">
        <v>45835</v>
      </c>
      <c r="C362">
        <v>42</v>
      </c>
      <c r="D362" t="s">
        <v>20</v>
      </c>
      <c r="E362" t="s">
        <v>21</v>
      </c>
      <c r="F362">
        <v>45</v>
      </c>
      <c r="G362" t="s">
        <v>22</v>
      </c>
      <c r="H362" t="s">
        <v>23</v>
      </c>
      <c r="I362">
        <v>22</v>
      </c>
      <c r="J362" t="s">
        <v>85</v>
      </c>
      <c r="K362" t="s">
        <v>19</v>
      </c>
      <c r="L362">
        <v>1377.44</v>
      </c>
      <c r="M362">
        <v>5</v>
      </c>
      <c r="N362">
        <v>6887.2</v>
      </c>
    </row>
    <row r="363" spans="1:14" x14ac:dyDescent="0.3">
      <c r="A363">
        <v>362</v>
      </c>
      <c r="B363" s="37">
        <v>45571</v>
      </c>
      <c r="C363">
        <v>74</v>
      </c>
      <c r="D363" t="s">
        <v>26</v>
      </c>
      <c r="E363" t="s">
        <v>74</v>
      </c>
      <c r="F363">
        <v>57</v>
      </c>
      <c r="G363" t="s">
        <v>59</v>
      </c>
      <c r="H363" t="s">
        <v>87</v>
      </c>
      <c r="I363">
        <v>15</v>
      </c>
      <c r="J363" t="s">
        <v>67</v>
      </c>
      <c r="K363" t="s">
        <v>38</v>
      </c>
      <c r="L363">
        <v>1329.92</v>
      </c>
      <c r="M363">
        <v>2</v>
      </c>
      <c r="N363">
        <v>2659.84</v>
      </c>
    </row>
    <row r="364" spans="1:14" x14ac:dyDescent="0.3">
      <c r="A364">
        <v>363</v>
      </c>
      <c r="B364" s="37">
        <v>45555</v>
      </c>
      <c r="C364">
        <v>71</v>
      </c>
      <c r="D364" t="s">
        <v>51</v>
      </c>
      <c r="E364" t="s">
        <v>36</v>
      </c>
      <c r="F364">
        <v>31</v>
      </c>
      <c r="G364" t="s">
        <v>16</v>
      </c>
      <c r="H364" t="s">
        <v>17</v>
      </c>
      <c r="I364">
        <v>26</v>
      </c>
      <c r="J364" t="s">
        <v>54</v>
      </c>
      <c r="K364" t="s">
        <v>25</v>
      </c>
      <c r="L364">
        <v>803.73</v>
      </c>
      <c r="M364">
        <v>4</v>
      </c>
      <c r="N364">
        <v>3214.92</v>
      </c>
    </row>
    <row r="365" spans="1:14" x14ac:dyDescent="0.3">
      <c r="A365">
        <v>364</v>
      </c>
      <c r="B365" s="37">
        <v>45594</v>
      </c>
      <c r="C365">
        <v>6</v>
      </c>
      <c r="D365" t="s">
        <v>35</v>
      </c>
      <c r="E365" t="s">
        <v>74</v>
      </c>
      <c r="F365">
        <v>55</v>
      </c>
      <c r="G365" t="s">
        <v>32</v>
      </c>
      <c r="H365" t="s">
        <v>33</v>
      </c>
      <c r="I365">
        <v>14</v>
      </c>
      <c r="J365" t="s">
        <v>81</v>
      </c>
      <c r="K365" t="s">
        <v>38</v>
      </c>
      <c r="L365">
        <v>1292.75</v>
      </c>
      <c r="M365">
        <v>6</v>
      </c>
      <c r="N365">
        <v>7756.5</v>
      </c>
    </row>
    <row r="366" spans="1:14" x14ac:dyDescent="0.3">
      <c r="A366">
        <v>365</v>
      </c>
      <c r="B366" s="37">
        <v>45638</v>
      </c>
      <c r="C366">
        <v>116</v>
      </c>
      <c r="D366" t="s">
        <v>75</v>
      </c>
      <c r="E366" t="s">
        <v>74</v>
      </c>
      <c r="F366">
        <v>46</v>
      </c>
      <c r="G366" t="s">
        <v>16</v>
      </c>
      <c r="H366" t="s">
        <v>17</v>
      </c>
      <c r="I366">
        <v>12</v>
      </c>
      <c r="J366" t="s">
        <v>37</v>
      </c>
      <c r="K366" t="s">
        <v>38</v>
      </c>
      <c r="L366">
        <v>1036.1199999999999</v>
      </c>
      <c r="M366">
        <v>1</v>
      </c>
      <c r="N366">
        <v>1036.1199999999999</v>
      </c>
    </row>
    <row r="367" spans="1:14" x14ac:dyDescent="0.3">
      <c r="A367">
        <v>366</v>
      </c>
      <c r="B367" s="37">
        <v>45771</v>
      </c>
      <c r="C367">
        <v>14</v>
      </c>
      <c r="D367" t="s">
        <v>30</v>
      </c>
      <c r="E367" t="s">
        <v>31</v>
      </c>
      <c r="F367">
        <v>67</v>
      </c>
      <c r="G367" t="s">
        <v>32</v>
      </c>
      <c r="H367" t="s">
        <v>33</v>
      </c>
      <c r="I367">
        <v>5</v>
      </c>
      <c r="J367" t="s">
        <v>82</v>
      </c>
      <c r="K367" t="s">
        <v>29</v>
      </c>
      <c r="L367">
        <v>691.29</v>
      </c>
      <c r="M367">
        <v>1</v>
      </c>
      <c r="N367">
        <v>691.29</v>
      </c>
    </row>
    <row r="368" spans="1:14" x14ac:dyDescent="0.3">
      <c r="A368">
        <v>367</v>
      </c>
      <c r="B368" s="37">
        <v>45436</v>
      </c>
      <c r="C368">
        <v>66</v>
      </c>
      <c r="D368" t="s">
        <v>26</v>
      </c>
      <c r="E368" t="s">
        <v>62</v>
      </c>
      <c r="F368">
        <v>55</v>
      </c>
      <c r="G368" t="s">
        <v>16</v>
      </c>
      <c r="H368" t="s">
        <v>17</v>
      </c>
      <c r="I368">
        <v>2</v>
      </c>
      <c r="J368" t="s">
        <v>34</v>
      </c>
      <c r="K368" t="s">
        <v>29</v>
      </c>
      <c r="L368">
        <v>1476.14</v>
      </c>
      <c r="M368">
        <v>2</v>
      </c>
      <c r="N368">
        <v>2952.28</v>
      </c>
    </row>
    <row r="369" spans="1:14" x14ac:dyDescent="0.3">
      <c r="A369">
        <v>368</v>
      </c>
      <c r="B369" s="37">
        <v>45984</v>
      </c>
      <c r="C369">
        <v>48</v>
      </c>
      <c r="D369" t="s">
        <v>35</v>
      </c>
      <c r="E369" t="s">
        <v>27</v>
      </c>
      <c r="F369">
        <v>20</v>
      </c>
      <c r="G369" t="s">
        <v>32</v>
      </c>
      <c r="H369" t="s">
        <v>33</v>
      </c>
      <c r="I369">
        <v>3</v>
      </c>
      <c r="J369" t="s">
        <v>28</v>
      </c>
      <c r="K369" t="s">
        <v>29</v>
      </c>
      <c r="L369">
        <v>922.74</v>
      </c>
      <c r="M369">
        <v>6</v>
      </c>
      <c r="N369">
        <v>5536.44</v>
      </c>
    </row>
    <row r="370" spans="1:14" x14ac:dyDescent="0.3">
      <c r="A370">
        <v>369</v>
      </c>
      <c r="B370" s="37">
        <v>45982</v>
      </c>
      <c r="C370">
        <v>84</v>
      </c>
      <c r="D370" t="s">
        <v>39</v>
      </c>
      <c r="E370" t="s">
        <v>44</v>
      </c>
      <c r="F370">
        <v>45</v>
      </c>
      <c r="G370" t="s">
        <v>32</v>
      </c>
      <c r="H370" t="s">
        <v>33</v>
      </c>
      <c r="I370">
        <v>2</v>
      </c>
      <c r="J370" t="s">
        <v>34</v>
      </c>
      <c r="K370" t="s">
        <v>29</v>
      </c>
      <c r="L370">
        <v>1476.14</v>
      </c>
      <c r="M370">
        <v>4</v>
      </c>
      <c r="N370">
        <v>5904.56</v>
      </c>
    </row>
    <row r="371" spans="1:14" x14ac:dyDescent="0.3">
      <c r="A371">
        <v>370</v>
      </c>
      <c r="B371" s="37">
        <v>45862</v>
      </c>
      <c r="C371">
        <v>67</v>
      </c>
      <c r="D371" t="s">
        <v>26</v>
      </c>
      <c r="E371" t="s">
        <v>60</v>
      </c>
      <c r="F371">
        <v>23</v>
      </c>
      <c r="G371" t="s">
        <v>52</v>
      </c>
      <c r="H371" t="s">
        <v>53</v>
      </c>
      <c r="I371">
        <v>28</v>
      </c>
      <c r="J371" t="s">
        <v>77</v>
      </c>
      <c r="K371" t="s">
        <v>25</v>
      </c>
      <c r="L371">
        <v>486.19</v>
      </c>
      <c r="M371">
        <v>3</v>
      </c>
      <c r="N371">
        <v>1458.57</v>
      </c>
    </row>
    <row r="372" spans="1:14" x14ac:dyDescent="0.3">
      <c r="A372">
        <v>371</v>
      </c>
      <c r="B372" s="37">
        <v>45384</v>
      </c>
      <c r="C372">
        <v>99</v>
      </c>
      <c r="D372" t="s">
        <v>83</v>
      </c>
      <c r="E372" t="s">
        <v>74</v>
      </c>
      <c r="F372">
        <v>40</v>
      </c>
      <c r="G372" t="s">
        <v>49</v>
      </c>
      <c r="H372" t="s">
        <v>50</v>
      </c>
      <c r="I372">
        <v>9</v>
      </c>
      <c r="J372" t="s">
        <v>76</v>
      </c>
      <c r="K372" t="s">
        <v>71</v>
      </c>
      <c r="L372">
        <v>585.21</v>
      </c>
      <c r="M372">
        <v>4</v>
      </c>
      <c r="N372">
        <v>2340.84</v>
      </c>
    </row>
    <row r="373" spans="1:14" x14ac:dyDescent="0.3">
      <c r="A373">
        <v>372</v>
      </c>
      <c r="B373" s="37">
        <v>45306</v>
      </c>
      <c r="C373">
        <v>36</v>
      </c>
      <c r="D373" t="s">
        <v>79</v>
      </c>
      <c r="E373" t="s">
        <v>47</v>
      </c>
      <c r="F373">
        <v>49</v>
      </c>
      <c r="G373" t="s">
        <v>32</v>
      </c>
      <c r="I373">
        <v>9</v>
      </c>
      <c r="J373" t="s">
        <v>76</v>
      </c>
      <c r="K373" t="s">
        <v>71</v>
      </c>
      <c r="L373">
        <v>585.21</v>
      </c>
      <c r="M373">
        <v>3</v>
      </c>
      <c r="N373">
        <v>1755.63</v>
      </c>
    </row>
    <row r="374" spans="1:14" x14ac:dyDescent="0.3">
      <c r="A374">
        <v>373</v>
      </c>
      <c r="B374" s="37">
        <v>45841</v>
      </c>
      <c r="C374">
        <v>117</v>
      </c>
      <c r="D374" t="s">
        <v>20</v>
      </c>
      <c r="E374" t="s">
        <v>74</v>
      </c>
      <c r="F374">
        <v>68</v>
      </c>
      <c r="G374" t="s">
        <v>49</v>
      </c>
      <c r="H374" t="s">
        <v>50</v>
      </c>
      <c r="I374">
        <v>30</v>
      </c>
      <c r="J374" t="s">
        <v>73</v>
      </c>
      <c r="K374" t="s">
        <v>25</v>
      </c>
      <c r="L374">
        <v>672.22</v>
      </c>
      <c r="M374">
        <v>1</v>
      </c>
      <c r="N374">
        <v>672.22</v>
      </c>
    </row>
    <row r="375" spans="1:14" x14ac:dyDescent="0.3">
      <c r="A375">
        <v>374</v>
      </c>
      <c r="B375" s="37">
        <v>45757</v>
      </c>
      <c r="C375">
        <v>42</v>
      </c>
      <c r="D375" t="s">
        <v>20</v>
      </c>
      <c r="E375" t="s">
        <v>21</v>
      </c>
      <c r="F375">
        <v>45</v>
      </c>
      <c r="G375" t="s">
        <v>22</v>
      </c>
      <c r="H375" t="s">
        <v>23</v>
      </c>
      <c r="I375">
        <v>19</v>
      </c>
      <c r="J375" t="s">
        <v>84</v>
      </c>
      <c r="K375" t="s">
        <v>43</v>
      </c>
      <c r="L375">
        <v>1048.43</v>
      </c>
      <c r="M375">
        <v>3</v>
      </c>
      <c r="N375">
        <v>3145.29</v>
      </c>
    </row>
    <row r="376" spans="1:14" x14ac:dyDescent="0.3">
      <c r="A376">
        <v>375</v>
      </c>
      <c r="B376" s="37">
        <v>45980</v>
      </c>
      <c r="C376">
        <v>118</v>
      </c>
      <c r="D376" t="s">
        <v>30</v>
      </c>
      <c r="E376" t="s">
        <v>27</v>
      </c>
      <c r="F376">
        <v>36</v>
      </c>
      <c r="G376" t="s">
        <v>52</v>
      </c>
      <c r="H376" t="s">
        <v>91</v>
      </c>
      <c r="I376">
        <v>30</v>
      </c>
      <c r="J376" t="s">
        <v>73</v>
      </c>
      <c r="K376" t="s">
        <v>25</v>
      </c>
      <c r="L376">
        <v>672.22</v>
      </c>
      <c r="M376">
        <v>6</v>
      </c>
      <c r="N376">
        <v>4033.32</v>
      </c>
    </row>
    <row r="377" spans="1:14" x14ac:dyDescent="0.3">
      <c r="A377">
        <v>376</v>
      </c>
      <c r="B377" s="37">
        <v>45980</v>
      </c>
      <c r="C377">
        <v>92</v>
      </c>
      <c r="D377" t="s">
        <v>30</v>
      </c>
      <c r="E377" t="s">
        <v>27</v>
      </c>
      <c r="F377">
        <v>40</v>
      </c>
      <c r="G377" t="s">
        <v>49</v>
      </c>
      <c r="H377" t="s">
        <v>50</v>
      </c>
      <c r="I377">
        <v>6</v>
      </c>
      <c r="J377" t="s">
        <v>86</v>
      </c>
      <c r="K377" t="s">
        <v>71</v>
      </c>
      <c r="L377">
        <v>1330.91</v>
      </c>
      <c r="M377">
        <v>3</v>
      </c>
      <c r="N377">
        <v>3992.73</v>
      </c>
    </row>
    <row r="378" spans="1:14" x14ac:dyDescent="0.3">
      <c r="A378">
        <v>377</v>
      </c>
      <c r="B378" s="37">
        <v>45890</v>
      </c>
      <c r="C378">
        <v>53</v>
      </c>
      <c r="D378" t="s">
        <v>63</v>
      </c>
      <c r="E378" t="s">
        <v>15</v>
      </c>
      <c r="F378">
        <v>47</v>
      </c>
      <c r="G378" t="s">
        <v>16</v>
      </c>
      <c r="H378" t="s">
        <v>17</v>
      </c>
      <c r="I378">
        <v>20</v>
      </c>
      <c r="J378" t="s">
        <v>58</v>
      </c>
      <c r="K378" t="s">
        <v>43</v>
      </c>
      <c r="L378">
        <v>704.86</v>
      </c>
      <c r="M378">
        <v>4</v>
      </c>
      <c r="N378">
        <v>2819.44</v>
      </c>
    </row>
    <row r="379" spans="1:14" x14ac:dyDescent="0.3">
      <c r="A379">
        <v>378</v>
      </c>
      <c r="B379" s="37">
        <v>45945</v>
      </c>
      <c r="C379">
        <v>58</v>
      </c>
      <c r="D379" t="s">
        <v>35</v>
      </c>
      <c r="E379" t="s">
        <v>27</v>
      </c>
      <c r="F379">
        <v>46</v>
      </c>
      <c r="G379" t="s">
        <v>52</v>
      </c>
      <c r="H379" t="s">
        <v>87</v>
      </c>
      <c r="I379">
        <v>12</v>
      </c>
      <c r="J379" t="s">
        <v>37</v>
      </c>
      <c r="K379" t="s">
        <v>38</v>
      </c>
      <c r="L379">
        <v>1036.1199999999999</v>
      </c>
      <c r="M379">
        <v>3</v>
      </c>
      <c r="N379">
        <v>3108.36</v>
      </c>
    </row>
    <row r="380" spans="1:14" x14ac:dyDescent="0.3">
      <c r="A380">
        <v>379</v>
      </c>
      <c r="B380" s="37">
        <v>45402</v>
      </c>
      <c r="C380">
        <v>43</v>
      </c>
      <c r="D380" t="s">
        <v>100</v>
      </c>
      <c r="E380" t="s">
        <v>60</v>
      </c>
      <c r="F380">
        <v>66</v>
      </c>
      <c r="G380" t="s">
        <v>49</v>
      </c>
      <c r="H380" t="s">
        <v>50</v>
      </c>
      <c r="I380">
        <v>9</v>
      </c>
      <c r="J380" t="s">
        <v>76</v>
      </c>
      <c r="K380" t="s">
        <v>71</v>
      </c>
      <c r="L380">
        <v>585.21</v>
      </c>
      <c r="M380">
        <v>6</v>
      </c>
      <c r="N380">
        <v>3511.26</v>
      </c>
    </row>
    <row r="381" spans="1:14" x14ac:dyDescent="0.3">
      <c r="A381">
        <v>380</v>
      </c>
      <c r="B381" s="37">
        <v>45531</v>
      </c>
      <c r="C381">
        <v>77</v>
      </c>
      <c r="D381" t="s">
        <v>36</v>
      </c>
      <c r="E381" t="s">
        <v>36</v>
      </c>
      <c r="F381">
        <v>28</v>
      </c>
      <c r="G381" t="s">
        <v>49</v>
      </c>
      <c r="H381" t="s">
        <v>50</v>
      </c>
      <c r="I381">
        <v>22</v>
      </c>
      <c r="J381" t="s">
        <v>85</v>
      </c>
      <c r="K381" t="s">
        <v>19</v>
      </c>
      <c r="L381">
        <v>1377.44</v>
      </c>
      <c r="M381">
        <v>4</v>
      </c>
      <c r="N381">
        <v>5509.76</v>
      </c>
    </row>
    <row r="382" spans="1:14" x14ac:dyDescent="0.3">
      <c r="A382">
        <v>381</v>
      </c>
      <c r="B382" s="37">
        <v>45317</v>
      </c>
      <c r="C382">
        <v>45</v>
      </c>
      <c r="D382" t="s">
        <v>75</v>
      </c>
      <c r="E382" t="s">
        <v>60</v>
      </c>
      <c r="F382">
        <v>46</v>
      </c>
      <c r="G382" t="s">
        <v>16</v>
      </c>
      <c r="H382" t="s">
        <v>17</v>
      </c>
      <c r="I382">
        <v>17</v>
      </c>
      <c r="J382" t="s">
        <v>42</v>
      </c>
      <c r="K382" t="s">
        <v>43</v>
      </c>
      <c r="L382">
        <v>339.98</v>
      </c>
      <c r="M382">
        <v>5</v>
      </c>
      <c r="N382">
        <v>1699.9</v>
      </c>
    </row>
    <row r="383" spans="1:14" x14ac:dyDescent="0.3">
      <c r="A383">
        <v>382</v>
      </c>
      <c r="B383" s="37">
        <v>45866</v>
      </c>
      <c r="C383">
        <v>14</v>
      </c>
      <c r="D383" t="s">
        <v>30</v>
      </c>
      <c r="E383" t="s">
        <v>31</v>
      </c>
      <c r="F383">
        <v>67</v>
      </c>
      <c r="G383" t="s">
        <v>32</v>
      </c>
      <c r="H383" t="s">
        <v>33</v>
      </c>
      <c r="I383">
        <v>22</v>
      </c>
      <c r="J383" t="s">
        <v>85</v>
      </c>
      <c r="K383" t="s">
        <v>19</v>
      </c>
      <c r="L383">
        <v>1377.44</v>
      </c>
      <c r="M383">
        <v>3</v>
      </c>
      <c r="N383">
        <v>4132.32</v>
      </c>
    </row>
    <row r="384" spans="1:14" x14ac:dyDescent="0.3">
      <c r="A384">
        <v>383</v>
      </c>
      <c r="B384" s="37">
        <v>45916</v>
      </c>
      <c r="C384">
        <v>113</v>
      </c>
      <c r="D384" t="s">
        <v>30</v>
      </c>
      <c r="E384" t="s">
        <v>41</v>
      </c>
      <c r="F384">
        <v>29</v>
      </c>
      <c r="G384" t="s">
        <v>32</v>
      </c>
      <c r="H384" t="s">
        <v>33</v>
      </c>
      <c r="I384">
        <v>8</v>
      </c>
      <c r="J384" t="s">
        <v>78</v>
      </c>
      <c r="K384" t="s">
        <v>71</v>
      </c>
      <c r="L384">
        <v>1081.74</v>
      </c>
      <c r="M384">
        <v>2</v>
      </c>
      <c r="N384">
        <v>2163.48</v>
      </c>
    </row>
    <row r="385" spans="1:14" x14ac:dyDescent="0.3">
      <c r="A385">
        <v>384</v>
      </c>
      <c r="B385" s="37">
        <v>45955</v>
      </c>
      <c r="C385">
        <v>117</v>
      </c>
      <c r="D385" t="s">
        <v>20</v>
      </c>
      <c r="E385" t="s">
        <v>74</v>
      </c>
      <c r="F385">
        <v>68</v>
      </c>
      <c r="G385" t="s">
        <v>49</v>
      </c>
      <c r="H385" t="s">
        <v>50</v>
      </c>
      <c r="I385">
        <v>25</v>
      </c>
      <c r="J385" t="s">
        <v>61</v>
      </c>
      <c r="K385" t="s">
        <v>19</v>
      </c>
      <c r="L385">
        <v>705</v>
      </c>
      <c r="M385">
        <v>1</v>
      </c>
      <c r="N385">
        <v>705</v>
      </c>
    </row>
    <row r="386" spans="1:14" x14ac:dyDescent="0.3">
      <c r="A386">
        <v>385</v>
      </c>
      <c r="B386" s="37">
        <v>45942</v>
      </c>
      <c r="C386">
        <v>79</v>
      </c>
      <c r="D386" t="s">
        <v>51</v>
      </c>
      <c r="E386" t="s">
        <v>44</v>
      </c>
      <c r="F386">
        <v>24</v>
      </c>
      <c r="G386" t="s">
        <v>22</v>
      </c>
      <c r="H386" t="s">
        <v>23</v>
      </c>
      <c r="I386">
        <v>4</v>
      </c>
      <c r="J386" t="s">
        <v>48</v>
      </c>
      <c r="K386" t="s">
        <v>29</v>
      </c>
      <c r="L386">
        <v>1156.21</v>
      </c>
      <c r="M386">
        <v>4</v>
      </c>
      <c r="N386">
        <v>4624.84</v>
      </c>
    </row>
    <row r="387" spans="1:14" x14ac:dyDescent="0.3">
      <c r="A387">
        <v>386</v>
      </c>
      <c r="B387" s="37">
        <v>46009</v>
      </c>
      <c r="C387">
        <v>29</v>
      </c>
      <c r="D387" t="s">
        <v>63</v>
      </c>
      <c r="E387" t="s">
        <v>15</v>
      </c>
      <c r="F387">
        <v>56</v>
      </c>
      <c r="G387" t="s">
        <v>59</v>
      </c>
      <c r="H387" t="s">
        <v>33</v>
      </c>
      <c r="I387">
        <v>21</v>
      </c>
      <c r="J387" t="s">
        <v>66</v>
      </c>
      <c r="K387" t="s">
        <v>19</v>
      </c>
      <c r="L387">
        <v>842.75</v>
      </c>
      <c r="M387">
        <v>3</v>
      </c>
      <c r="N387">
        <v>2528.25</v>
      </c>
    </row>
    <row r="388" spans="1:14" x14ac:dyDescent="0.3">
      <c r="A388">
        <v>387</v>
      </c>
      <c r="B388" s="37">
        <v>45956</v>
      </c>
      <c r="C388">
        <v>98</v>
      </c>
      <c r="D388" t="s">
        <v>63</v>
      </c>
      <c r="E388" t="s">
        <v>62</v>
      </c>
      <c r="F388">
        <v>48</v>
      </c>
      <c r="G388" t="s">
        <v>59</v>
      </c>
      <c r="H388" t="s">
        <v>33</v>
      </c>
      <c r="I388">
        <v>1</v>
      </c>
      <c r="J388" t="s">
        <v>69</v>
      </c>
      <c r="K388" t="s">
        <v>29</v>
      </c>
      <c r="L388">
        <v>83.63</v>
      </c>
      <c r="M388">
        <v>4</v>
      </c>
      <c r="N388">
        <v>334.52</v>
      </c>
    </row>
    <row r="389" spans="1:14" x14ac:dyDescent="0.3">
      <c r="A389">
        <v>388</v>
      </c>
      <c r="B389" s="37">
        <v>45411</v>
      </c>
      <c r="C389">
        <v>109</v>
      </c>
      <c r="D389" t="s">
        <v>79</v>
      </c>
      <c r="E389" t="s">
        <v>47</v>
      </c>
      <c r="F389">
        <v>60</v>
      </c>
      <c r="G389" t="s">
        <v>16</v>
      </c>
      <c r="H389" t="s">
        <v>17</v>
      </c>
      <c r="I389">
        <v>22</v>
      </c>
      <c r="J389" t="s">
        <v>85</v>
      </c>
      <c r="K389" t="s">
        <v>19</v>
      </c>
      <c r="L389">
        <v>1377.44</v>
      </c>
      <c r="M389">
        <v>2</v>
      </c>
      <c r="N389">
        <v>2754.88</v>
      </c>
    </row>
    <row r="390" spans="1:14" x14ac:dyDescent="0.3">
      <c r="A390">
        <v>389</v>
      </c>
      <c r="B390" s="37">
        <v>45338</v>
      </c>
      <c r="C390">
        <v>119</v>
      </c>
      <c r="D390" t="s">
        <v>39</v>
      </c>
      <c r="E390" t="s">
        <v>31</v>
      </c>
      <c r="F390">
        <v>61</v>
      </c>
      <c r="G390" t="s">
        <v>16</v>
      </c>
      <c r="I390">
        <v>5</v>
      </c>
      <c r="J390" t="s">
        <v>82</v>
      </c>
      <c r="K390" t="s">
        <v>29</v>
      </c>
      <c r="L390">
        <v>691.29</v>
      </c>
      <c r="M390">
        <v>1</v>
      </c>
      <c r="N390">
        <v>691.29</v>
      </c>
    </row>
    <row r="391" spans="1:14" x14ac:dyDescent="0.3">
      <c r="A391">
        <v>390</v>
      </c>
      <c r="B391" s="37">
        <v>45603</v>
      </c>
      <c r="C391">
        <v>110</v>
      </c>
      <c r="D391" t="s">
        <v>46</v>
      </c>
      <c r="E391" t="s">
        <v>36</v>
      </c>
      <c r="F391">
        <v>50</v>
      </c>
      <c r="G391" t="s">
        <v>59</v>
      </c>
      <c r="H391" t="s">
        <v>33</v>
      </c>
      <c r="I391">
        <v>1</v>
      </c>
      <c r="J391" t="s">
        <v>69</v>
      </c>
      <c r="K391" t="s">
        <v>29</v>
      </c>
      <c r="L391">
        <v>83.63</v>
      </c>
      <c r="M391">
        <v>4</v>
      </c>
      <c r="N391">
        <v>334.52</v>
      </c>
    </row>
    <row r="392" spans="1:14" x14ac:dyDescent="0.3">
      <c r="A392">
        <v>391</v>
      </c>
      <c r="B392" s="37">
        <v>45410</v>
      </c>
      <c r="C392">
        <v>71</v>
      </c>
      <c r="D392" t="s">
        <v>51</v>
      </c>
      <c r="E392" t="s">
        <v>36</v>
      </c>
      <c r="F392">
        <v>31</v>
      </c>
      <c r="G392" t="s">
        <v>16</v>
      </c>
      <c r="H392" t="s">
        <v>17</v>
      </c>
      <c r="I392">
        <v>11</v>
      </c>
      <c r="J392" t="s">
        <v>55</v>
      </c>
      <c r="K392" t="s">
        <v>38</v>
      </c>
      <c r="L392">
        <v>234.14</v>
      </c>
      <c r="M392">
        <v>1</v>
      </c>
      <c r="N392">
        <v>234.14</v>
      </c>
    </row>
    <row r="393" spans="1:14" x14ac:dyDescent="0.3">
      <c r="A393">
        <v>392</v>
      </c>
      <c r="B393" s="37">
        <v>45532</v>
      </c>
      <c r="C393">
        <v>94</v>
      </c>
      <c r="D393" t="s">
        <v>83</v>
      </c>
      <c r="E393" t="s">
        <v>57</v>
      </c>
      <c r="F393">
        <v>69</v>
      </c>
      <c r="G393" t="s">
        <v>49</v>
      </c>
      <c r="H393" t="s">
        <v>50</v>
      </c>
      <c r="I393">
        <v>28</v>
      </c>
      <c r="J393" t="s">
        <v>77</v>
      </c>
      <c r="K393" t="s">
        <v>25</v>
      </c>
      <c r="L393">
        <v>486.19</v>
      </c>
      <c r="M393">
        <v>5</v>
      </c>
      <c r="N393">
        <v>2430.9499999999998</v>
      </c>
    </row>
    <row r="394" spans="1:14" x14ac:dyDescent="0.3">
      <c r="A394">
        <v>393</v>
      </c>
      <c r="B394" s="37">
        <v>45430</v>
      </c>
      <c r="C394">
        <v>29</v>
      </c>
      <c r="D394" t="s">
        <v>63</v>
      </c>
      <c r="E394" t="s">
        <v>15</v>
      </c>
      <c r="F394">
        <v>56</v>
      </c>
      <c r="G394" t="s">
        <v>59</v>
      </c>
      <c r="H394" t="s">
        <v>33</v>
      </c>
      <c r="I394">
        <v>30</v>
      </c>
      <c r="J394" t="s">
        <v>73</v>
      </c>
      <c r="K394" t="s">
        <v>25</v>
      </c>
      <c r="L394">
        <v>672.22</v>
      </c>
      <c r="M394">
        <v>4</v>
      </c>
      <c r="N394">
        <v>2688.88</v>
      </c>
    </row>
    <row r="395" spans="1:14" x14ac:dyDescent="0.3">
      <c r="A395">
        <v>394</v>
      </c>
      <c r="B395" s="37">
        <v>45756</v>
      </c>
      <c r="C395">
        <v>27</v>
      </c>
      <c r="D395" t="s">
        <v>39</v>
      </c>
      <c r="E395" t="s">
        <v>62</v>
      </c>
      <c r="F395">
        <v>25</v>
      </c>
      <c r="G395" t="s">
        <v>52</v>
      </c>
      <c r="H395" t="s">
        <v>53</v>
      </c>
      <c r="I395">
        <v>2</v>
      </c>
      <c r="J395" t="s">
        <v>34</v>
      </c>
      <c r="K395" t="s">
        <v>29</v>
      </c>
      <c r="L395">
        <v>1476.14</v>
      </c>
      <c r="M395">
        <v>3</v>
      </c>
      <c r="N395">
        <v>4428.42</v>
      </c>
    </row>
    <row r="396" spans="1:14" x14ac:dyDescent="0.3">
      <c r="A396">
        <v>395</v>
      </c>
      <c r="B396" s="37">
        <v>45978</v>
      </c>
      <c r="C396">
        <v>51</v>
      </c>
      <c r="D396" t="s">
        <v>35</v>
      </c>
      <c r="E396" t="s">
        <v>74</v>
      </c>
      <c r="F396">
        <v>69</v>
      </c>
      <c r="G396" t="s">
        <v>52</v>
      </c>
      <c r="H396" t="s">
        <v>98</v>
      </c>
      <c r="I396">
        <v>30</v>
      </c>
      <c r="J396" t="s">
        <v>73</v>
      </c>
      <c r="K396" t="s">
        <v>92</v>
      </c>
      <c r="L396">
        <v>672.22</v>
      </c>
      <c r="M396">
        <v>6</v>
      </c>
      <c r="N396">
        <v>4033.32</v>
      </c>
    </row>
    <row r="397" spans="1:14" x14ac:dyDescent="0.3">
      <c r="A397">
        <v>396</v>
      </c>
      <c r="B397" s="37">
        <v>46005</v>
      </c>
      <c r="C397">
        <v>30</v>
      </c>
      <c r="D397" t="s">
        <v>20</v>
      </c>
      <c r="E397" t="s">
        <v>62</v>
      </c>
      <c r="F397">
        <v>61</v>
      </c>
      <c r="G397" t="s">
        <v>22</v>
      </c>
      <c r="H397" t="s">
        <v>23</v>
      </c>
      <c r="I397">
        <v>14</v>
      </c>
      <c r="J397" t="s">
        <v>81</v>
      </c>
      <c r="K397" t="s">
        <v>38</v>
      </c>
      <c r="L397">
        <v>1292.75</v>
      </c>
      <c r="M397">
        <v>5</v>
      </c>
      <c r="N397">
        <v>6463.75</v>
      </c>
    </row>
    <row r="398" spans="1:14" x14ac:dyDescent="0.3">
      <c r="A398">
        <v>397</v>
      </c>
      <c r="B398" s="37">
        <v>45721</v>
      </c>
      <c r="C398">
        <v>80</v>
      </c>
      <c r="D398" t="s">
        <v>56</v>
      </c>
      <c r="E398" t="s">
        <v>27</v>
      </c>
      <c r="F398">
        <v>24</v>
      </c>
      <c r="G398" t="s">
        <v>52</v>
      </c>
      <c r="H398" t="s">
        <v>53</v>
      </c>
      <c r="I398">
        <v>28</v>
      </c>
      <c r="J398" t="s">
        <v>77</v>
      </c>
      <c r="K398" t="s">
        <v>25</v>
      </c>
      <c r="L398">
        <v>486.19</v>
      </c>
      <c r="M398">
        <v>5</v>
      </c>
      <c r="N398">
        <v>2430.9499999999998</v>
      </c>
    </row>
    <row r="399" spans="1:14" x14ac:dyDescent="0.3">
      <c r="A399">
        <v>398</v>
      </c>
      <c r="B399" s="37">
        <v>45450</v>
      </c>
      <c r="C399">
        <v>56</v>
      </c>
      <c r="D399" t="s">
        <v>35</v>
      </c>
      <c r="E399" t="s">
        <v>31</v>
      </c>
      <c r="F399">
        <v>30</v>
      </c>
      <c r="G399" t="s">
        <v>59</v>
      </c>
      <c r="H399" t="s">
        <v>33</v>
      </c>
      <c r="I399">
        <v>26</v>
      </c>
      <c r="J399" t="s">
        <v>54</v>
      </c>
      <c r="K399" t="s">
        <v>25</v>
      </c>
      <c r="L399">
        <v>803.73</v>
      </c>
      <c r="M399">
        <v>4</v>
      </c>
      <c r="N399">
        <v>3214.92</v>
      </c>
    </row>
    <row r="400" spans="1:14" x14ac:dyDescent="0.3">
      <c r="A400">
        <v>399</v>
      </c>
      <c r="B400" s="37">
        <v>45962</v>
      </c>
      <c r="C400">
        <v>47</v>
      </c>
      <c r="D400" t="s">
        <v>79</v>
      </c>
      <c r="E400" t="s">
        <v>31</v>
      </c>
      <c r="F400">
        <v>18</v>
      </c>
      <c r="G400" t="s">
        <v>49</v>
      </c>
      <c r="H400" t="s">
        <v>50</v>
      </c>
      <c r="I400">
        <v>19</v>
      </c>
      <c r="J400" t="s">
        <v>84</v>
      </c>
      <c r="K400" t="s">
        <v>43</v>
      </c>
      <c r="L400">
        <v>1048.43</v>
      </c>
      <c r="M400">
        <v>1</v>
      </c>
      <c r="N400">
        <v>1048.43</v>
      </c>
    </row>
    <row r="401" spans="1:14" x14ac:dyDescent="0.3">
      <c r="A401">
        <v>400</v>
      </c>
      <c r="B401" s="37">
        <v>45793</v>
      </c>
      <c r="C401">
        <v>26</v>
      </c>
      <c r="D401" t="s">
        <v>36</v>
      </c>
      <c r="E401" t="s">
        <v>31</v>
      </c>
      <c r="F401">
        <v>26</v>
      </c>
      <c r="G401" t="s">
        <v>32</v>
      </c>
      <c r="H401" t="s">
        <v>33</v>
      </c>
      <c r="I401">
        <v>29</v>
      </c>
      <c r="J401" t="s">
        <v>65</v>
      </c>
      <c r="K401" t="s">
        <v>25</v>
      </c>
      <c r="L401">
        <v>1136.55</v>
      </c>
      <c r="M401">
        <v>5</v>
      </c>
      <c r="N401">
        <v>5682.75</v>
      </c>
    </row>
    <row r="402" spans="1:14" x14ac:dyDescent="0.3">
      <c r="A402">
        <v>401</v>
      </c>
      <c r="B402" s="37">
        <v>45709</v>
      </c>
      <c r="C402">
        <v>17</v>
      </c>
      <c r="D402" t="s">
        <v>36</v>
      </c>
      <c r="E402" t="s">
        <v>31</v>
      </c>
      <c r="F402">
        <v>60</v>
      </c>
      <c r="G402" t="s">
        <v>16</v>
      </c>
      <c r="H402" t="s">
        <v>17</v>
      </c>
      <c r="I402">
        <v>25</v>
      </c>
      <c r="J402" t="s">
        <v>61</v>
      </c>
      <c r="K402" t="s">
        <v>19</v>
      </c>
      <c r="L402">
        <v>705</v>
      </c>
      <c r="M402">
        <v>3</v>
      </c>
      <c r="N402">
        <v>2115</v>
      </c>
    </row>
    <row r="403" spans="1:14" x14ac:dyDescent="0.3">
      <c r="A403">
        <v>402</v>
      </c>
      <c r="B403" s="37">
        <v>45325</v>
      </c>
      <c r="C403">
        <v>1</v>
      </c>
      <c r="D403" t="s">
        <v>26</v>
      </c>
      <c r="E403" t="s">
        <v>41</v>
      </c>
      <c r="F403">
        <v>35</v>
      </c>
      <c r="G403" t="s">
        <v>59</v>
      </c>
      <c r="H403" t="s">
        <v>33</v>
      </c>
      <c r="I403">
        <v>28</v>
      </c>
      <c r="J403" t="s">
        <v>77</v>
      </c>
      <c r="K403" t="s">
        <v>25</v>
      </c>
      <c r="L403">
        <v>486.19</v>
      </c>
      <c r="M403">
        <v>6</v>
      </c>
      <c r="N403">
        <v>2917.14</v>
      </c>
    </row>
    <row r="404" spans="1:14" x14ac:dyDescent="0.3">
      <c r="A404">
        <v>403</v>
      </c>
      <c r="B404" s="37">
        <v>45671</v>
      </c>
      <c r="C404">
        <v>12</v>
      </c>
      <c r="D404" t="s">
        <v>39</v>
      </c>
      <c r="E404" t="s">
        <v>60</v>
      </c>
      <c r="F404">
        <v>36</v>
      </c>
      <c r="G404" t="s">
        <v>32</v>
      </c>
      <c r="H404" t="s">
        <v>33</v>
      </c>
      <c r="I404">
        <v>12</v>
      </c>
      <c r="J404" t="s">
        <v>37</v>
      </c>
      <c r="K404" t="s">
        <v>38</v>
      </c>
      <c r="L404">
        <v>1036.1199999999999</v>
      </c>
      <c r="M404">
        <v>2</v>
      </c>
      <c r="N404">
        <v>2072.2399999999998</v>
      </c>
    </row>
    <row r="405" spans="1:14" x14ac:dyDescent="0.3">
      <c r="A405">
        <v>404</v>
      </c>
      <c r="B405" s="37">
        <v>45746</v>
      </c>
      <c r="C405">
        <v>94</v>
      </c>
      <c r="D405" t="s">
        <v>83</v>
      </c>
      <c r="E405" t="s">
        <v>57</v>
      </c>
      <c r="F405">
        <v>69</v>
      </c>
      <c r="G405" t="s">
        <v>49</v>
      </c>
      <c r="H405" t="s">
        <v>50</v>
      </c>
      <c r="I405">
        <v>23</v>
      </c>
      <c r="J405" t="s">
        <v>18</v>
      </c>
      <c r="K405" t="s">
        <v>19</v>
      </c>
      <c r="L405">
        <v>195.22</v>
      </c>
      <c r="M405">
        <v>4</v>
      </c>
      <c r="N405">
        <v>780.88</v>
      </c>
    </row>
    <row r="406" spans="1:14" x14ac:dyDescent="0.3">
      <c r="A406">
        <v>405</v>
      </c>
      <c r="B406" s="37">
        <v>45533</v>
      </c>
      <c r="C406">
        <v>120</v>
      </c>
      <c r="D406" t="s">
        <v>14</v>
      </c>
      <c r="E406" t="s">
        <v>31</v>
      </c>
      <c r="F406">
        <v>27</v>
      </c>
      <c r="G406" t="s">
        <v>49</v>
      </c>
      <c r="H406" t="s">
        <v>50</v>
      </c>
      <c r="I406">
        <v>15</v>
      </c>
      <c r="J406" t="s">
        <v>67</v>
      </c>
      <c r="K406" t="s">
        <v>38</v>
      </c>
      <c r="L406">
        <v>1329.92</v>
      </c>
      <c r="M406">
        <v>3</v>
      </c>
      <c r="N406">
        <v>3989.76</v>
      </c>
    </row>
    <row r="407" spans="1:14" x14ac:dyDescent="0.3">
      <c r="A407">
        <v>406</v>
      </c>
      <c r="B407" s="37">
        <v>45393</v>
      </c>
      <c r="C407">
        <v>25</v>
      </c>
      <c r="D407" t="s">
        <v>46</v>
      </c>
      <c r="E407" t="s">
        <v>21</v>
      </c>
      <c r="F407">
        <v>45</v>
      </c>
      <c r="G407" t="s">
        <v>22</v>
      </c>
      <c r="H407" t="s">
        <v>23</v>
      </c>
      <c r="I407">
        <v>25</v>
      </c>
      <c r="J407" t="s">
        <v>61</v>
      </c>
      <c r="K407" t="s">
        <v>19</v>
      </c>
      <c r="L407">
        <v>705</v>
      </c>
      <c r="M407">
        <v>6</v>
      </c>
      <c r="N407">
        <v>4230</v>
      </c>
    </row>
    <row r="408" spans="1:14" x14ac:dyDescent="0.3">
      <c r="A408">
        <v>407</v>
      </c>
      <c r="B408" s="37">
        <v>45668</v>
      </c>
      <c r="C408">
        <v>75</v>
      </c>
      <c r="D408" t="s">
        <v>39</v>
      </c>
      <c r="E408" t="s">
        <v>60</v>
      </c>
      <c r="F408">
        <v>31</v>
      </c>
      <c r="G408" t="s">
        <v>59</v>
      </c>
      <c r="H408" t="s">
        <v>98</v>
      </c>
      <c r="I408">
        <v>24</v>
      </c>
      <c r="J408" t="s">
        <v>45</v>
      </c>
      <c r="K408" t="s">
        <v>19</v>
      </c>
      <c r="L408">
        <v>213.01</v>
      </c>
      <c r="M408">
        <v>5</v>
      </c>
      <c r="N408">
        <v>1065.05</v>
      </c>
    </row>
    <row r="409" spans="1:14" x14ac:dyDescent="0.3">
      <c r="A409">
        <v>408</v>
      </c>
      <c r="B409" s="37">
        <v>45952</v>
      </c>
      <c r="C409">
        <v>64</v>
      </c>
      <c r="D409" t="s">
        <v>72</v>
      </c>
      <c r="E409" t="s">
        <v>31</v>
      </c>
      <c r="F409">
        <v>36</v>
      </c>
      <c r="G409" t="s">
        <v>52</v>
      </c>
      <c r="H409" t="s">
        <v>53</v>
      </c>
      <c r="I409">
        <v>11</v>
      </c>
      <c r="J409" t="s">
        <v>55</v>
      </c>
      <c r="K409" t="s">
        <v>38</v>
      </c>
      <c r="L409">
        <v>234.14</v>
      </c>
      <c r="M409">
        <v>3</v>
      </c>
      <c r="N409">
        <v>702.42</v>
      </c>
    </row>
    <row r="410" spans="1:14" x14ac:dyDescent="0.3">
      <c r="A410">
        <v>409</v>
      </c>
      <c r="B410" s="37">
        <v>45354</v>
      </c>
      <c r="C410">
        <v>13</v>
      </c>
      <c r="D410" t="s">
        <v>94</v>
      </c>
      <c r="E410" t="s">
        <v>31</v>
      </c>
      <c r="F410">
        <v>63</v>
      </c>
      <c r="G410" t="s">
        <v>16</v>
      </c>
      <c r="H410" t="s">
        <v>17</v>
      </c>
      <c r="I410">
        <v>10</v>
      </c>
      <c r="J410" t="s">
        <v>70</v>
      </c>
      <c r="K410" t="s">
        <v>71</v>
      </c>
      <c r="L410">
        <v>608.48</v>
      </c>
      <c r="M410">
        <v>4</v>
      </c>
      <c r="N410">
        <v>2433.92</v>
      </c>
    </row>
    <row r="411" spans="1:14" x14ac:dyDescent="0.3">
      <c r="A411">
        <v>410</v>
      </c>
      <c r="B411" s="37">
        <v>45574</v>
      </c>
      <c r="C411">
        <v>54</v>
      </c>
      <c r="D411" t="s">
        <v>30</v>
      </c>
      <c r="E411" t="s">
        <v>44</v>
      </c>
      <c r="F411">
        <v>59</v>
      </c>
      <c r="G411" t="s">
        <v>32</v>
      </c>
      <c r="H411" t="s">
        <v>33</v>
      </c>
      <c r="I411">
        <v>30</v>
      </c>
      <c r="J411" t="s">
        <v>73</v>
      </c>
      <c r="K411" t="s">
        <v>25</v>
      </c>
      <c r="L411">
        <v>672.22</v>
      </c>
      <c r="M411">
        <v>2</v>
      </c>
      <c r="N411">
        <v>1344.44</v>
      </c>
    </row>
    <row r="412" spans="1:14" x14ac:dyDescent="0.3">
      <c r="A412">
        <v>411</v>
      </c>
      <c r="B412" s="37">
        <v>45417</v>
      </c>
      <c r="C412">
        <v>81</v>
      </c>
      <c r="D412" t="s">
        <v>101</v>
      </c>
      <c r="E412" t="s">
        <v>36</v>
      </c>
      <c r="F412">
        <v>56</v>
      </c>
      <c r="G412" t="s">
        <v>52</v>
      </c>
      <c r="H412" t="s">
        <v>53</v>
      </c>
      <c r="I412">
        <v>6</v>
      </c>
      <c r="J412" t="s">
        <v>86</v>
      </c>
      <c r="K412" t="s">
        <v>71</v>
      </c>
      <c r="L412">
        <v>1330.91</v>
      </c>
      <c r="M412">
        <v>4</v>
      </c>
      <c r="N412">
        <v>5323.64</v>
      </c>
    </row>
    <row r="413" spans="1:14" x14ac:dyDescent="0.3">
      <c r="A413">
        <v>412</v>
      </c>
      <c r="B413" s="37">
        <v>45385</v>
      </c>
      <c r="C413">
        <v>14</v>
      </c>
      <c r="D413" t="s">
        <v>30</v>
      </c>
      <c r="E413" t="s">
        <v>31</v>
      </c>
      <c r="F413">
        <v>67</v>
      </c>
      <c r="G413" t="s">
        <v>32</v>
      </c>
      <c r="H413" t="s">
        <v>33</v>
      </c>
      <c r="I413">
        <v>9</v>
      </c>
      <c r="J413" t="s">
        <v>76</v>
      </c>
      <c r="K413" t="s">
        <v>71</v>
      </c>
      <c r="L413">
        <v>585.21</v>
      </c>
      <c r="M413">
        <v>6</v>
      </c>
      <c r="N413">
        <v>3511.26</v>
      </c>
    </row>
    <row r="414" spans="1:14" x14ac:dyDescent="0.3">
      <c r="A414">
        <v>413</v>
      </c>
      <c r="B414" s="37">
        <v>45509</v>
      </c>
      <c r="C414">
        <v>91</v>
      </c>
      <c r="D414" t="s">
        <v>51</v>
      </c>
      <c r="E414" t="s">
        <v>62</v>
      </c>
      <c r="F414">
        <v>40</v>
      </c>
      <c r="G414" t="s">
        <v>16</v>
      </c>
      <c r="H414" t="s">
        <v>17</v>
      </c>
      <c r="I414">
        <v>6</v>
      </c>
      <c r="J414" t="s">
        <v>86</v>
      </c>
      <c r="K414" t="s">
        <v>71</v>
      </c>
      <c r="L414">
        <v>1330.91</v>
      </c>
      <c r="M414">
        <v>6</v>
      </c>
      <c r="N414">
        <v>7985.46</v>
      </c>
    </row>
    <row r="415" spans="1:14" x14ac:dyDescent="0.3">
      <c r="A415">
        <v>414</v>
      </c>
      <c r="B415" s="37">
        <v>45946</v>
      </c>
      <c r="C415">
        <v>89</v>
      </c>
      <c r="D415" t="s">
        <v>20</v>
      </c>
      <c r="E415" t="s">
        <v>62</v>
      </c>
      <c r="F415">
        <v>41</v>
      </c>
      <c r="G415" t="s">
        <v>52</v>
      </c>
      <c r="H415" t="s">
        <v>53</v>
      </c>
      <c r="I415">
        <v>19</v>
      </c>
      <c r="J415" t="s">
        <v>84</v>
      </c>
      <c r="K415" t="s">
        <v>43</v>
      </c>
      <c r="L415">
        <v>1048.43</v>
      </c>
      <c r="M415">
        <v>5</v>
      </c>
      <c r="N415">
        <v>5242.1499999999996</v>
      </c>
    </row>
    <row r="416" spans="1:14" x14ac:dyDescent="0.3">
      <c r="A416">
        <v>415</v>
      </c>
      <c r="B416" s="37">
        <v>45313</v>
      </c>
      <c r="C416">
        <v>104</v>
      </c>
      <c r="D416" t="s">
        <v>26</v>
      </c>
      <c r="E416" t="s">
        <v>27</v>
      </c>
      <c r="F416">
        <v>56</v>
      </c>
      <c r="G416" t="s">
        <v>22</v>
      </c>
      <c r="H416" t="s">
        <v>23</v>
      </c>
      <c r="I416">
        <v>22</v>
      </c>
      <c r="J416" t="s">
        <v>85</v>
      </c>
      <c r="K416" t="s">
        <v>19</v>
      </c>
      <c r="L416">
        <v>1377.44</v>
      </c>
      <c r="M416">
        <v>1</v>
      </c>
      <c r="N416">
        <v>1377.44</v>
      </c>
    </row>
    <row r="417" spans="1:14" x14ac:dyDescent="0.3">
      <c r="A417">
        <v>416</v>
      </c>
      <c r="B417" s="37">
        <v>45633</v>
      </c>
      <c r="C417">
        <v>117</v>
      </c>
      <c r="D417" t="s">
        <v>20</v>
      </c>
      <c r="E417" t="s">
        <v>74</v>
      </c>
      <c r="F417">
        <v>68</v>
      </c>
      <c r="G417" t="s">
        <v>49</v>
      </c>
      <c r="H417" t="s">
        <v>50</v>
      </c>
      <c r="I417">
        <v>2</v>
      </c>
      <c r="J417" t="s">
        <v>34</v>
      </c>
      <c r="K417" t="s">
        <v>29</v>
      </c>
      <c r="L417">
        <v>1476.14</v>
      </c>
      <c r="M417">
        <v>2</v>
      </c>
      <c r="N417">
        <v>2952.28</v>
      </c>
    </row>
    <row r="418" spans="1:14" x14ac:dyDescent="0.3">
      <c r="A418">
        <v>417</v>
      </c>
      <c r="B418" s="37">
        <v>45420</v>
      </c>
      <c r="C418">
        <v>102</v>
      </c>
      <c r="D418" t="s">
        <v>36</v>
      </c>
      <c r="E418" t="s">
        <v>44</v>
      </c>
      <c r="F418">
        <v>50</v>
      </c>
      <c r="G418" t="s">
        <v>22</v>
      </c>
      <c r="H418" t="s">
        <v>23</v>
      </c>
      <c r="I418">
        <v>13</v>
      </c>
      <c r="J418" t="s">
        <v>40</v>
      </c>
      <c r="K418" t="s">
        <v>38</v>
      </c>
      <c r="L418">
        <v>1340.6</v>
      </c>
      <c r="M418">
        <v>5</v>
      </c>
      <c r="N418">
        <v>6703</v>
      </c>
    </row>
    <row r="419" spans="1:14" x14ac:dyDescent="0.3">
      <c r="A419">
        <v>418</v>
      </c>
      <c r="B419" s="37">
        <v>45502</v>
      </c>
      <c r="C419">
        <v>76</v>
      </c>
      <c r="D419" t="s">
        <v>72</v>
      </c>
      <c r="E419" t="s">
        <v>47</v>
      </c>
      <c r="F419">
        <v>22</v>
      </c>
      <c r="G419" t="s">
        <v>22</v>
      </c>
      <c r="H419" t="s">
        <v>23</v>
      </c>
      <c r="I419">
        <v>28</v>
      </c>
      <c r="J419" t="s">
        <v>77</v>
      </c>
      <c r="K419" t="s">
        <v>25</v>
      </c>
      <c r="L419">
        <v>486.19</v>
      </c>
      <c r="M419">
        <v>1</v>
      </c>
      <c r="N419">
        <v>486.19</v>
      </c>
    </row>
    <row r="420" spans="1:14" x14ac:dyDescent="0.3">
      <c r="A420">
        <v>419</v>
      </c>
      <c r="B420" s="37">
        <v>45859</v>
      </c>
      <c r="C420">
        <v>70</v>
      </c>
      <c r="D420" t="s">
        <v>79</v>
      </c>
      <c r="E420" t="s">
        <v>27</v>
      </c>
      <c r="F420">
        <v>44</v>
      </c>
      <c r="G420" t="s">
        <v>32</v>
      </c>
      <c r="H420" t="s">
        <v>33</v>
      </c>
      <c r="I420">
        <v>24</v>
      </c>
      <c r="J420" t="s">
        <v>45</v>
      </c>
      <c r="K420" t="s">
        <v>19</v>
      </c>
      <c r="L420">
        <v>213.01</v>
      </c>
      <c r="M420">
        <v>2</v>
      </c>
      <c r="N420">
        <v>426.02</v>
      </c>
    </row>
    <row r="421" spans="1:14" x14ac:dyDescent="0.3">
      <c r="A421">
        <v>420</v>
      </c>
      <c r="B421" s="37">
        <v>45892</v>
      </c>
      <c r="C421">
        <v>20</v>
      </c>
      <c r="D421" t="s">
        <v>30</v>
      </c>
      <c r="E421" t="s">
        <v>47</v>
      </c>
      <c r="F421">
        <v>67</v>
      </c>
      <c r="G421" t="s">
        <v>49</v>
      </c>
      <c r="H421" t="s">
        <v>50</v>
      </c>
      <c r="I421">
        <v>26</v>
      </c>
      <c r="J421" t="s">
        <v>54</v>
      </c>
      <c r="K421" t="s">
        <v>25</v>
      </c>
      <c r="L421">
        <v>803.73</v>
      </c>
      <c r="M421">
        <v>2</v>
      </c>
      <c r="N421">
        <v>1607.46</v>
      </c>
    </row>
    <row r="422" spans="1:14" x14ac:dyDescent="0.3">
      <c r="A422">
        <v>421</v>
      </c>
      <c r="B422" s="37">
        <v>45530</v>
      </c>
      <c r="C422">
        <v>68</v>
      </c>
      <c r="D422" t="s">
        <v>39</v>
      </c>
      <c r="E422" t="s">
        <v>21</v>
      </c>
      <c r="F422">
        <v>22</v>
      </c>
      <c r="G422" t="s">
        <v>52</v>
      </c>
      <c r="H422" t="s">
        <v>53</v>
      </c>
      <c r="I422">
        <v>4</v>
      </c>
      <c r="J422" t="s">
        <v>48</v>
      </c>
      <c r="K422" t="s">
        <v>29</v>
      </c>
      <c r="L422">
        <v>1156.21</v>
      </c>
      <c r="M422">
        <v>3</v>
      </c>
      <c r="N422">
        <v>3468.63</v>
      </c>
    </row>
    <row r="423" spans="1:14" x14ac:dyDescent="0.3">
      <c r="A423">
        <v>422</v>
      </c>
      <c r="B423" s="37">
        <v>45443</v>
      </c>
      <c r="C423">
        <v>22</v>
      </c>
      <c r="D423" t="s">
        <v>56</v>
      </c>
      <c r="E423" t="s">
        <v>27</v>
      </c>
      <c r="F423" t="s">
        <v>89</v>
      </c>
      <c r="G423" t="s">
        <v>32</v>
      </c>
      <c r="H423" t="s">
        <v>33</v>
      </c>
      <c r="I423">
        <v>1</v>
      </c>
      <c r="J423" t="s">
        <v>69</v>
      </c>
      <c r="K423" t="s">
        <v>29</v>
      </c>
      <c r="L423">
        <v>-83.63</v>
      </c>
      <c r="M423">
        <v>5</v>
      </c>
      <c r="N423">
        <v>418.15</v>
      </c>
    </row>
    <row r="424" spans="1:14" x14ac:dyDescent="0.3">
      <c r="A424">
        <v>423</v>
      </c>
      <c r="B424" s="37">
        <v>45294</v>
      </c>
      <c r="C424">
        <v>92</v>
      </c>
      <c r="D424" t="s">
        <v>30</v>
      </c>
      <c r="E424" t="s">
        <v>27</v>
      </c>
      <c r="F424">
        <v>40</v>
      </c>
      <c r="G424" t="s">
        <v>49</v>
      </c>
      <c r="H424" t="s">
        <v>50</v>
      </c>
      <c r="I424">
        <v>21</v>
      </c>
      <c r="J424" t="s">
        <v>66</v>
      </c>
      <c r="K424" t="s">
        <v>19</v>
      </c>
      <c r="L424">
        <v>842.75</v>
      </c>
      <c r="M424">
        <v>3</v>
      </c>
      <c r="N424">
        <v>2528.25</v>
      </c>
    </row>
    <row r="425" spans="1:14" x14ac:dyDescent="0.3">
      <c r="A425">
        <v>424</v>
      </c>
      <c r="B425" s="37">
        <v>45440</v>
      </c>
      <c r="C425">
        <v>70</v>
      </c>
      <c r="D425" t="s">
        <v>79</v>
      </c>
      <c r="E425" t="s">
        <v>27</v>
      </c>
      <c r="F425">
        <v>44</v>
      </c>
      <c r="G425" t="s">
        <v>32</v>
      </c>
      <c r="H425" t="s">
        <v>33</v>
      </c>
      <c r="I425">
        <v>7</v>
      </c>
      <c r="J425" t="s">
        <v>80</v>
      </c>
      <c r="K425" t="s">
        <v>71</v>
      </c>
      <c r="L425">
        <v>869.87</v>
      </c>
      <c r="M425">
        <v>2</v>
      </c>
      <c r="N425">
        <v>1739.74</v>
      </c>
    </row>
    <row r="426" spans="1:14" x14ac:dyDescent="0.3">
      <c r="A426">
        <v>425</v>
      </c>
      <c r="B426" s="37">
        <v>45845</v>
      </c>
      <c r="C426">
        <v>53</v>
      </c>
      <c r="D426" t="s">
        <v>63</v>
      </c>
      <c r="E426" t="s">
        <v>15</v>
      </c>
      <c r="F426">
        <v>47</v>
      </c>
      <c r="G426" t="s">
        <v>16</v>
      </c>
      <c r="H426" t="s">
        <v>17</v>
      </c>
      <c r="I426">
        <v>11</v>
      </c>
      <c r="J426" t="s">
        <v>55</v>
      </c>
      <c r="K426" t="s">
        <v>38</v>
      </c>
      <c r="L426">
        <v>234.14</v>
      </c>
      <c r="M426">
        <v>3</v>
      </c>
      <c r="N426">
        <v>702.42</v>
      </c>
    </row>
    <row r="427" spans="1:14" x14ac:dyDescent="0.3">
      <c r="A427">
        <v>426</v>
      </c>
      <c r="B427" s="37">
        <v>45470</v>
      </c>
      <c r="C427">
        <v>14</v>
      </c>
      <c r="D427" t="s">
        <v>30</v>
      </c>
      <c r="E427" t="s">
        <v>31</v>
      </c>
      <c r="F427">
        <v>67</v>
      </c>
      <c r="G427" t="s">
        <v>32</v>
      </c>
      <c r="H427" t="s">
        <v>33</v>
      </c>
      <c r="I427">
        <v>4</v>
      </c>
      <c r="J427" t="s">
        <v>48</v>
      </c>
      <c r="K427" t="s">
        <v>29</v>
      </c>
      <c r="L427">
        <v>1156.21</v>
      </c>
      <c r="M427">
        <v>1</v>
      </c>
      <c r="N427">
        <v>1156.21</v>
      </c>
    </row>
    <row r="428" spans="1:14" x14ac:dyDescent="0.3">
      <c r="A428">
        <v>427</v>
      </c>
      <c r="B428" s="37">
        <v>45968</v>
      </c>
      <c r="C428">
        <v>10</v>
      </c>
      <c r="D428" t="s">
        <v>83</v>
      </c>
      <c r="E428" t="s">
        <v>47</v>
      </c>
      <c r="F428">
        <v>56</v>
      </c>
      <c r="G428" t="s">
        <v>16</v>
      </c>
      <c r="H428" t="s">
        <v>17</v>
      </c>
      <c r="I428">
        <v>16</v>
      </c>
      <c r="J428" t="s">
        <v>64</v>
      </c>
      <c r="K428" t="s">
        <v>43</v>
      </c>
      <c r="L428">
        <v>1170.95</v>
      </c>
      <c r="M428">
        <v>1</v>
      </c>
      <c r="N428">
        <v>1170.95</v>
      </c>
    </row>
    <row r="429" spans="1:14" x14ac:dyDescent="0.3">
      <c r="A429">
        <v>428</v>
      </c>
      <c r="B429" s="37">
        <v>45426</v>
      </c>
      <c r="C429">
        <v>84</v>
      </c>
      <c r="D429" t="s">
        <v>39</v>
      </c>
      <c r="E429" t="s">
        <v>44</v>
      </c>
      <c r="F429">
        <v>45</v>
      </c>
      <c r="G429" t="s">
        <v>32</v>
      </c>
      <c r="H429" t="s">
        <v>33</v>
      </c>
      <c r="I429">
        <v>8</v>
      </c>
      <c r="J429" t="s">
        <v>78</v>
      </c>
      <c r="K429" t="s">
        <v>71</v>
      </c>
      <c r="L429">
        <v>1081.74</v>
      </c>
      <c r="M429">
        <v>1</v>
      </c>
      <c r="N429">
        <v>1081.74</v>
      </c>
    </row>
    <row r="430" spans="1:14" x14ac:dyDescent="0.3">
      <c r="A430">
        <v>429</v>
      </c>
      <c r="B430" s="37">
        <v>45658</v>
      </c>
      <c r="C430">
        <v>49</v>
      </c>
      <c r="D430" t="s">
        <v>39</v>
      </c>
      <c r="E430" t="s">
        <v>60</v>
      </c>
      <c r="F430">
        <v>33</v>
      </c>
      <c r="G430" t="s">
        <v>16</v>
      </c>
      <c r="H430" t="s">
        <v>17</v>
      </c>
      <c r="I430">
        <v>13</v>
      </c>
      <c r="J430" t="s">
        <v>40</v>
      </c>
      <c r="K430" t="s">
        <v>38</v>
      </c>
      <c r="L430">
        <v>1340.6</v>
      </c>
      <c r="M430">
        <v>2</v>
      </c>
      <c r="N430">
        <v>2681.2</v>
      </c>
    </row>
    <row r="431" spans="1:14" x14ac:dyDescent="0.3">
      <c r="A431">
        <v>430</v>
      </c>
      <c r="B431" s="37">
        <v>45894</v>
      </c>
      <c r="C431">
        <v>75</v>
      </c>
      <c r="D431" t="s">
        <v>39</v>
      </c>
      <c r="E431" t="s">
        <v>60</v>
      </c>
      <c r="F431">
        <v>31</v>
      </c>
      <c r="G431" t="s">
        <v>59</v>
      </c>
      <c r="H431" t="s">
        <v>33</v>
      </c>
      <c r="I431">
        <v>11</v>
      </c>
      <c r="J431" t="s">
        <v>55</v>
      </c>
      <c r="K431" t="s">
        <v>38</v>
      </c>
      <c r="L431">
        <v>234.14</v>
      </c>
      <c r="M431">
        <v>3</v>
      </c>
      <c r="N431">
        <v>702.42</v>
      </c>
    </row>
    <row r="432" spans="1:14" x14ac:dyDescent="0.3">
      <c r="A432">
        <v>431</v>
      </c>
      <c r="B432" s="37">
        <v>45308</v>
      </c>
      <c r="C432">
        <v>11</v>
      </c>
      <c r="D432" t="s">
        <v>46</v>
      </c>
      <c r="E432" t="s">
        <v>74</v>
      </c>
      <c r="F432">
        <v>52</v>
      </c>
      <c r="G432" t="s">
        <v>32</v>
      </c>
      <c r="H432" t="s">
        <v>33</v>
      </c>
      <c r="I432">
        <v>14</v>
      </c>
      <c r="J432" t="s">
        <v>81</v>
      </c>
      <c r="K432" t="s">
        <v>99</v>
      </c>
      <c r="L432">
        <v>1292.75</v>
      </c>
      <c r="M432">
        <v>2</v>
      </c>
      <c r="N432">
        <v>2585.5</v>
      </c>
    </row>
    <row r="433" spans="1:14" x14ac:dyDescent="0.3">
      <c r="A433">
        <v>432</v>
      </c>
      <c r="B433" s="37">
        <v>45563</v>
      </c>
      <c r="C433">
        <v>69</v>
      </c>
      <c r="D433" t="s">
        <v>63</v>
      </c>
      <c r="E433" t="s">
        <v>27</v>
      </c>
      <c r="F433">
        <v>54</v>
      </c>
      <c r="G433" t="s">
        <v>49</v>
      </c>
      <c r="H433" t="s">
        <v>50</v>
      </c>
      <c r="I433">
        <v>6</v>
      </c>
      <c r="J433" t="s">
        <v>86</v>
      </c>
      <c r="K433" t="s">
        <v>71</v>
      </c>
      <c r="L433">
        <v>1330.91</v>
      </c>
      <c r="M433">
        <v>1</v>
      </c>
      <c r="N433">
        <v>1330.91</v>
      </c>
    </row>
    <row r="434" spans="1:14" x14ac:dyDescent="0.3">
      <c r="A434">
        <v>433</v>
      </c>
      <c r="B434" s="37">
        <v>45421</v>
      </c>
      <c r="C434">
        <v>105</v>
      </c>
      <c r="D434" t="s">
        <v>102</v>
      </c>
      <c r="E434" t="s">
        <v>47</v>
      </c>
      <c r="F434">
        <v>45</v>
      </c>
      <c r="G434" t="s">
        <v>16</v>
      </c>
      <c r="H434" t="s">
        <v>17</v>
      </c>
      <c r="I434">
        <v>4</v>
      </c>
      <c r="J434" t="s">
        <v>48</v>
      </c>
      <c r="K434" t="s">
        <v>29</v>
      </c>
      <c r="L434">
        <v>1156.21</v>
      </c>
      <c r="M434">
        <v>6</v>
      </c>
      <c r="N434">
        <v>6937.26</v>
      </c>
    </row>
    <row r="435" spans="1:14" x14ac:dyDescent="0.3">
      <c r="A435">
        <v>434</v>
      </c>
      <c r="B435" s="37">
        <v>45723</v>
      </c>
      <c r="C435">
        <v>76</v>
      </c>
      <c r="D435" t="s">
        <v>72</v>
      </c>
      <c r="E435" t="s">
        <v>47</v>
      </c>
      <c r="F435">
        <v>22</v>
      </c>
      <c r="G435" t="s">
        <v>22</v>
      </c>
      <c r="H435" t="s">
        <v>23</v>
      </c>
      <c r="I435">
        <v>4</v>
      </c>
      <c r="J435" t="s">
        <v>48</v>
      </c>
      <c r="K435" t="s">
        <v>29</v>
      </c>
      <c r="L435">
        <v>1156.21</v>
      </c>
      <c r="M435">
        <v>5</v>
      </c>
      <c r="N435">
        <v>5781.05</v>
      </c>
    </row>
    <row r="436" spans="1:14" x14ac:dyDescent="0.3">
      <c r="A436">
        <v>435</v>
      </c>
      <c r="B436" s="37">
        <v>45408</v>
      </c>
      <c r="C436">
        <v>99</v>
      </c>
      <c r="D436" t="s">
        <v>83</v>
      </c>
      <c r="E436" t="s">
        <v>74</v>
      </c>
      <c r="F436">
        <v>40</v>
      </c>
      <c r="G436" t="s">
        <v>49</v>
      </c>
      <c r="H436" t="s">
        <v>50</v>
      </c>
      <c r="I436">
        <v>11</v>
      </c>
      <c r="J436" t="s">
        <v>55</v>
      </c>
      <c r="K436" t="s">
        <v>38</v>
      </c>
      <c r="L436">
        <v>234.14</v>
      </c>
      <c r="M436">
        <v>6</v>
      </c>
      <c r="N436">
        <v>1404.84</v>
      </c>
    </row>
    <row r="437" spans="1:14" x14ac:dyDescent="0.3">
      <c r="A437">
        <v>436</v>
      </c>
      <c r="B437" s="37">
        <v>45357</v>
      </c>
      <c r="C437">
        <v>85</v>
      </c>
      <c r="D437" t="s">
        <v>26</v>
      </c>
      <c r="E437" t="s">
        <v>62</v>
      </c>
      <c r="G437" t="s">
        <v>22</v>
      </c>
      <c r="H437" t="s">
        <v>23</v>
      </c>
      <c r="I437">
        <v>25</v>
      </c>
      <c r="J437" t="s">
        <v>61</v>
      </c>
      <c r="K437" t="s">
        <v>19</v>
      </c>
      <c r="L437">
        <v>705</v>
      </c>
      <c r="M437">
        <v>4</v>
      </c>
      <c r="N437">
        <v>2820</v>
      </c>
    </row>
    <row r="438" spans="1:14" x14ac:dyDescent="0.3">
      <c r="A438">
        <v>437</v>
      </c>
      <c r="B438" s="37">
        <v>45751</v>
      </c>
      <c r="C438">
        <v>62</v>
      </c>
      <c r="D438" t="s">
        <v>72</v>
      </c>
      <c r="E438" t="s">
        <v>15</v>
      </c>
      <c r="F438">
        <v>18</v>
      </c>
      <c r="G438" t="s">
        <v>32</v>
      </c>
      <c r="H438" t="s">
        <v>33</v>
      </c>
      <c r="I438">
        <v>18</v>
      </c>
      <c r="J438" t="s">
        <v>68</v>
      </c>
      <c r="K438" t="s">
        <v>43</v>
      </c>
      <c r="L438">
        <v>1209.0999999999999</v>
      </c>
      <c r="M438">
        <v>3</v>
      </c>
      <c r="N438">
        <v>3627.3</v>
      </c>
    </row>
    <row r="439" spans="1:14" x14ac:dyDescent="0.3">
      <c r="A439">
        <v>438</v>
      </c>
      <c r="B439" s="37">
        <v>45817</v>
      </c>
      <c r="C439">
        <v>61</v>
      </c>
      <c r="D439" t="s">
        <v>75</v>
      </c>
      <c r="E439" t="s">
        <v>31</v>
      </c>
      <c r="F439">
        <v>43</v>
      </c>
      <c r="G439" t="s">
        <v>52</v>
      </c>
      <c r="H439" t="s">
        <v>53</v>
      </c>
      <c r="I439">
        <v>29</v>
      </c>
      <c r="J439" t="s">
        <v>65</v>
      </c>
      <c r="K439" t="s">
        <v>25</v>
      </c>
      <c r="L439">
        <v>1136.55</v>
      </c>
      <c r="M439">
        <v>5</v>
      </c>
      <c r="N439">
        <v>5682.75</v>
      </c>
    </row>
    <row r="440" spans="1:14" x14ac:dyDescent="0.3">
      <c r="A440">
        <v>439</v>
      </c>
      <c r="B440" s="37">
        <v>45403</v>
      </c>
      <c r="C440">
        <v>105</v>
      </c>
      <c r="D440" t="s">
        <v>46</v>
      </c>
      <c r="E440" t="s">
        <v>47</v>
      </c>
      <c r="F440">
        <v>45</v>
      </c>
      <c r="G440" t="s">
        <v>16</v>
      </c>
      <c r="H440" t="s">
        <v>17</v>
      </c>
      <c r="I440">
        <v>7</v>
      </c>
      <c r="J440" t="s">
        <v>80</v>
      </c>
      <c r="K440" t="s">
        <v>71</v>
      </c>
      <c r="L440">
        <v>869.87</v>
      </c>
      <c r="M440">
        <v>4</v>
      </c>
      <c r="N440">
        <v>3479.48</v>
      </c>
    </row>
    <row r="441" spans="1:14" x14ac:dyDescent="0.3">
      <c r="A441">
        <v>440</v>
      </c>
      <c r="B441" s="37">
        <v>45807</v>
      </c>
      <c r="C441">
        <v>88</v>
      </c>
      <c r="D441" t="s">
        <v>39</v>
      </c>
      <c r="E441" t="s">
        <v>27</v>
      </c>
      <c r="F441">
        <v>62</v>
      </c>
      <c r="G441" t="s">
        <v>32</v>
      </c>
      <c r="H441" t="s">
        <v>33</v>
      </c>
      <c r="I441">
        <v>24</v>
      </c>
      <c r="J441" t="s">
        <v>45</v>
      </c>
      <c r="K441" t="s">
        <v>19</v>
      </c>
      <c r="L441">
        <v>213.01</v>
      </c>
      <c r="M441">
        <v>2</v>
      </c>
      <c r="N441">
        <v>426.02</v>
      </c>
    </row>
    <row r="442" spans="1:14" x14ac:dyDescent="0.3">
      <c r="A442">
        <v>441</v>
      </c>
      <c r="B442" s="37">
        <v>45921</v>
      </c>
      <c r="C442">
        <v>119</v>
      </c>
      <c r="D442" t="s">
        <v>39</v>
      </c>
      <c r="E442" t="s">
        <v>31</v>
      </c>
      <c r="F442">
        <v>61</v>
      </c>
      <c r="G442" t="s">
        <v>16</v>
      </c>
      <c r="H442" t="s">
        <v>17</v>
      </c>
      <c r="I442">
        <v>22</v>
      </c>
      <c r="J442" t="s">
        <v>85</v>
      </c>
      <c r="K442" t="s">
        <v>19</v>
      </c>
      <c r="L442">
        <v>1377.44</v>
      </c>
      <c r="M442">
        <v>1</v>
      </c>
      <c r="N442">
        <v>1377.44</v>
      </c>
    </row>
    <row r="443" spans="1:14" x14ac:dyDescent="0.3">
      <c r="A443">
        <v>442</v>
      </c>
      <c r="B443" s="37">
        <v>45966</v>
      </c>
      <c r="C443">
        <v>22</v>
      </c>
      <c r="D443" t="s">
        <v>56</v>
      </c>
      <c r="E443" t="s">
        <v>27</v>
      </c>
      <c r="F443">
        <v>31</v>
      </c>
      <c r="G443" t="s">
        <v>32</v>
      </c>
      <c r="H443" t="s">
        <v>33</v>
      </c>
      <c r="I443">
        <v>13</v>
      </c>
      <c r="J443" t="s">
        <v>40</v>
      </c>
      <c r="K443" t="s">
        <v>38</v>
      </c>
      <c r="L443">
        <v>1340.6</v>
      </c>
      <c r="M443">
        <v>5</v>
      </c>
      <c r="N443">
        <v>6703</v>
      </c>
    </row>
    <row r="444" spans="1:14" x14ac:dyDescent="0.3">
      <c r="A444">
        <v>443</v>
      </c>
      <c r="B444" s="37">
        <v>45600</v>
      </c>
      <c r="C444">
        <v>12</v>
      </c>
      <c r="D444" t="s">
        <v>39</v>
      </c>
      <c r="E444" t="s">
        <v>60</v>
      </c>
      <c r="F444">
        <v>36</v>
      </c>
      <c r="G444" t="s">
        <v>32</v>
      </c>
      <c r="H444" t="s">
        <v>33</v>
      </c>
      <c r="I444">
        <v>19</v>
      </c>
      <c r="J444" t="s">
        <v>84</v>
      </c>
      <c r="K444" t="s">
        <v>43</v>
      </c>
      <c r="L444">
        <v>-1048.43</v>
      </c>
      <c r="M444">
        <v>4</v>
      </c>
      <c r="N444">
        <v>4193.72</v>
      </c>
    </row>
    <row r="445" spans="1:14" x14ac:dyDescent="0.3">
      <c r="A445">
        <v>444</v>
      </c>
      <c r="B445" s="37">
        <v>45950</v>
      </c>
      <c r="C445">
        <v>63</v>
      </c>
      <c r="D445" t="s">
        <v>51</v>
      </c>
      <c r="E445" t="s">
        <v>74</v>
      </c>
      <c r="F445">
        <v>36</v>
      </c>
      <c r="G445" t="s">
        <v>22</v>
      </c>
      <c r="H445" t="s">
        <v>23</v>
      </c>
      <c r="I445">
        <v>23</v>
      </c>
      <c r="J445" t="s">
        <v>18</v>
      </c>
      <c r="K445" t="s">
        <v>19</v>
      </c>
      <c r="L445">
        <v>195.22</v>
      </c>
      <c r="M445">
        <v>1</v>
      </c>
      <c r="N445">
        <v>195.22</v>
      </c>
    </row>
    <row r="446" spans="1:14" x14ac:dyDescent="0.3">
      <c r="A446">
        <v>445</v>
      </c>
      <c r="B446" s="37">
        <v>45354</v>
      </c>
      <c r="C446">
        <v>94</v>
      </c>
      <c r="D446" t="s">
        <v>83</v>
      </c>
      <c r="E446" t="s">
        <v>57</v>
      </c>
      <c r="F446">
        <v>69</v>
      </c>
      <c r="G446" t="s">
        <v>49</v>
      </c>
      <c r="H446" t="s">
        <v>50</v>
      </c>
      <c r="I446">
        <v>13</v>
      </c>
      <c r="J446" t="s">
        <v>40</v>
      </c>
      <c r="K446" t="s">
        <v>38</v>
      </c>
      <c r="L446">
        <v>1340.6</v>
      </c>
      <c r="M446">
        <v>4</v>
      </c>
      <c r="N446">
        <v>5362.4</v>
      </c>
    </row>
    <row r="447" spans="1:14" x14ac:dyDescent="0.3">
      <c r="A447">
        <v>446</v>
      </c>
      <c r="B447" s="37">
        <v>45703</v>
      </c>
      <c r="C447">
        <v>38</v>
      </c>
      <c r="D447" t="s">
        <v>26</v>
      </c>
      <c r="E447" t="s">
        <v>31</v>
      </c>
      <c r="F447">
        <v>54</v>
      </c>
      <c r="G447" t="s">
        <v>49</v>
      </c>
      <c r="H447" t="s">
        <v>50</v>
      </c>
      <c r="I447">
        <v>29</v>
      </c>
      <c r="J447" t="s">
        <v>65</v>
      </c>
      <c r="K447" t="s">
        <v>25</v>
      </c>
      <c r="L447">
        <v>1136.55</v>
      </c>
      <c r="M447">
        <v>4</v>
      </c>
      <c r="N447">
        <v>4546.2</v>
      </c>
    </row>
    <row r="448" spans="1:14" x14ac:dyDescent="0.3">
      <c r="A448">
        <v>447</v>
      </c>
      <c r="B448" s="37">
        <v>45994</v>
      </c>
      <c r="C448">
        <v>93</v>
      </c>
      <c r="D448" t="s">
        <v>79</v>
      </c>
      <c r="E448" t="s">
        <v>41</v>
      </c>
      <c r="F448">
        <v>27</v>
      </c>
      <c r="G448" t="s">
        <v>32</v>
      </c>
      <c r="H448" t="s">
        <v>33</v>
      </c>
      <c r="I448">
        <v>29</v>
      </c>
      <c r="J448" t="s">
        <v>65</v>
      </c>
      <c r="K448" t="s">
        <v>25</v>
      </c>
      <c r="L448">
        <v>1136.55</v>
      </c>
      <c r="M448">
        <v>1</v>
      </c>
      <c r="N448">
        <v>1136.55</v>
      </c>
    </row>
    <row r="449" spans="1:14" x14ac:dyDescent="0.3">
      <c r="A449">
        <v>448</v>
      </c>
      <c r="B449" s="37">
        <v>45794</v>
      </c>
      <c r="C449">
        <v>28</v>
      </c>
      <c r="D449" t="s">
        <v>14</v>
      </c>
      <c r="E449" t="s">
        <v>44</v>
      </c>
      <c r="F449">
        <v>45</v>
      </c>
      <c r="G449" t="s">
        <v>52</v>
      </c>
      <c r="H449" t="s">
        <v>53</v>
      </c>
      <c r="I449">
        <v>13</v>
      </c>
      <c r="J449" t="s">
        <v>40</v>
      </c>
      <c r="K449" t="s">
        <v>38</v>
      </c>
      <c r="L449">
        <v>1340.6</v>
      </c>
      <c r="M449">
        <v>6</v>
      </c>
      <c r="N449">
        <v>8043.6</v>
      </c>
    </row>
    <row r="450" spans="1:14" x14ac:dyDescent="0.3">
      <c r="A450">
        <v>449</v>
      </c>
      <c r="B450" s="37">
        <v>45746</v>
      </c>
      <c r="C450">
        <v>84</v>
      </c>
      <c r="D450" t="s">
        <v>39</v>
      </c>
      <c r="E450" t="s">
        <v>44</v>
      </c>
      <c r="F450">
        <v>45</v>
      </c>
      <c r="G450" t="s">
        <v>32</v>
      </c>
      <c r="H450" t="s">
        <v>33</v>
      </c>
      <c r="I450">
        <v>7</v>
      </c>
      <c r="J450" t="s">
        <v>80</v>
      </c>
      <c r="K450" t="s">
        <v>71</v>
      </c>
      <c r="L450">
        <v>869.87</v>
      </c>
      <c r="M450">
        <v>1</v>
      </c>
      <c r="N450">
        <v>869.87</v>
      </c>
    </row>
    <row r="451" spans="1:14" x14ac:dyDescent="0.3">
      <c r="A451">
        <v>450</v>
      </c>
      <c r="B451" s="37">
        <v>45374</v>
      </c>
      <c r="C451">
        <v>23</v>
      </c>
      <c r="D451" t="s">
        <v>35</v>
      </c>
      <c r="E451" t="s">
        <v>44</v>
      </c>
      <c r="F451">
        <v>49</v>
      </c>
      <c r="G451" t="s">
        <v>16</v>
      </c>
      <c r="H451" t="s">
        <v>17</v>
      </c>
      <c r="I451">
        <v>27</v>
      </c>
      <c r="J451" t="s">
        <v>24</v>
      </c>
      <c r="K451" t="s">
        <v>97</v>
      </c>
      <c r="L451">
        <v>845</v>
      </c>
      <c r="M451">
        <v>3</v>
      </c>
      <c r="N451">
        <v>2535</v>
      </c>
    </row>
    <row r="452" spans="1:14" x14ac:dyDescent="0.3">
      <c r="A452">
        <v>451</v>
      </c>
      <c r="B452" s="37">
        <v>45914</v>
      </c>
      <c r="C452">
        <v>115</v>
      </c>
      <c r="D452" t="s">
        <v>35</v>
      </c>
      <c r="E452" t="s">
        <v>15</v>
      </c>
      <c r="F452">
        <v>68</v>
      </c>
      <c r="G452" t="s">
        <v>22</v>
      </c>
      <c r="H452" t="s">
        <v>98</v>
      </c>
      <c r="I452">
        <v>12</v>
      </c>
      <c r="J452" t="s">
        <v>37</v>
      </c>
      <c r="K452" t="s">
        <v>38</v>
      </c>
      <c r="L452">
        <v>1036.1199999999999</v>
      </c>
      <c r="M452">
        <v>2</v>
      </c>
      <c r="N452">
        <v>2072.2399999999998</v>
      </c>
    </row>
    <row r="453" spans="1:14" x14ac:dyDescent="0.3">
      <c r="A453">
        <v>452</v>
      </c>
      <c r="B453" s="37">
        <v>45359</v>
      </c>
      <c r="C453">
        <v>104</v>
      </c>
      <c r="D453" t="s">
        <v>26</v>
      </c>
      <c r="E453" t="s">
        <v>27</v>
      </c>
      <c r="F453">
        <v>56</v>
      </c>
      <c r="G453" t="s">
        <v>22</v>
      </c>
      <c r="H453" t="s">
        <v>23</v>
      </c>
      <c r="I453">
        <v>12</v>
      </c>
      <c r="J453" t="s">
        <v>37</v>
      </c>
      <c r="K453" t="s">
        <v>38</v>
      </c>
      <c r="L453">
        <v>1036.1199999999999</v>
      </c>
      <c r="M453">
        <v>2</v>
      </c>
      <c r="N453">
        <v>2072.2399999999998</v>
      </c>
    </row>
    <row r="454" spans="1:14" x14ac:dyDescent="0.3">
      <c r="A454">
        <v>453</v>
      </c>
      <c r="B454" s="37">
        <v>45573</v>
      </c>
      <c r="C454">
        <v>30</v>
      </c>
      <c r="D454" t="s">
        <v>20</v>
      </c>
      <c r="E454" t="s">
        <v>62</v>
      </c>
      <c r="F454">
        <v>61</v>
      </c>
      <c r="G454" t="s">
        <v>22</v>
      </c>
      <c r="H454" t="s">
        <v>23</v>
      </c>
      <c r="I454">
        <v>22</v>
      </c>
      <c r="J454" t="s">
        <v>85</v>
      </c>
      <c r="K454" t="s">
        <v>19</v>
      </c>
      <c r="L454">
        <v>1377.44</v>
      </c>
      <c r="M454">
        <v>5</v>
      </c>
      <c r="N454">
        <v>6887.2</v>
      </c>
    </row>
    <row r="455" spans="1:14" x14ac:dyDescent="0.3">
      <c r="A455">
        <v>454</v>
      </c>
      <c r="B455" s="37">
        <v>45940</v>
      </c>
      <c r="C455">
        <v>76</v>
      </c>
      <c r="D455" t="s">
        <v>72</v>
      </c>
      <c r="E455" t="s">
        <v>47</v>
      </c>
      <c r="F455">
        <v>22</v>
      </c>
      <c r="G455" t="s">
        <v>22</v>
      </c>
      <c r="H455" t="s">
        <v>23</v>
      </c>
      <c r="I455">
        <v>9</v>
      </c>
      <c r="J455" t="s">
        <v>76</v>
      </c>
      <c r="K455" t="s">
        <v>71</v>
      </c>
      <c r="L455">
        <v>585.21</v>
      </c>
      <c r="M455">
        <v>5</v>
      </c>
      <c r="N455">
        <v>2926.05</v>
      </c>
    </row>
    <row r="456" spans="1:14" x14ac:dyDescent="0.3">
      <c r="A456">
        <v>455</v>
      </c>
      <c r="B456" s="37">
        <v>45853</v>
      </c>
      <c r="C456">
        <v>61</v>
      </c>
      <c r="D456" t="s">
        <v>75</v>
      </c>
      <c r="E456" t="s">
        <v>31</v>
      </c>
      <c r="F456">
        <v>43</v>
      </c>
      <c r="G456" t="s">
        <v>52</v>
      </c>
      <c r="H456" t="s">
        <v>53</v>
      </c>
      <c r="I456">
        <v>3</v>
      </c>
      <c r="J456" t="s">
        <v>28</v>
      </c>
      <c r="K456" t="s">
        <v>29</v>
      </c>
      <c r="L456">
        <v>922.74</v>
      </c>
      <c r="M456">
        <v>6</v>
      </c>
      <c r="N456">
        <v>5536.44</v>
      </c>
    </row>
    <row r="457" spans="1:14" x14ac:dyDescent="0.3">
      <c r="A457">
        <v>456</v>
      </c>
      <c r="B457" s="37">
        <v>45624</v>
      </c>
      <c r="C457">
        <v>1</v>
      </c>
      <c r="D457" t="s">
        <v>26</v>
      </c>
      <c r="E457" t="s">
        <v>41</v>
      </c>
      <c r="F457" t="s">
        <v>89</v>
      </c>
      <c r="G457" t="s">
        <v>59</v>
      </c>
      <c r="H457" t="s">
        <v>33</v>
      </c>
      <c r="I457">
        <v>2</v>
      </c>
      <c r="J457" t="s">
        <v>34</v>
      </c>
      <c r="K457" t="s">
        <v>29</v>
      </c>
      <c r="L457">
        <v>1476.14</v>
      </c>
      <c r="M457">
        <v>4</v>
      </c>
      <c r="N457">
        <v>5904.56</v>
      </c>
    </row>
    <row r="458" spans="1:14" x14ac:dyDescent="0.3">
      <c r="A458">
        <v>457</v>
      </c>
      <c r="B458" s="37">
        <v>45903</v>
      </c>
      <c r="C458">
        <v>61</v>
      </c>
      <c r="D458" t="s">
        <v>75</v>
      </c>
      <c r="E458" t="s">
        <v>31</v>
      </c>
      <c r="F458">
        <v>43</v>
      </c>
      <c r="G458" t="s">
        <v>52</v>
      </c>
      <c r="H458" t="s">
        <v>53</v>
      </c>
      <c r="I458">
        <v>8</v>
      </c>
      <c r="J458" t="s">
        <v>78</v>
      </c>
      <c r="K458" t="s">
        <v>71</v>
      </c>
      <c r="L458">
        <v>1081.74</v>
      </c>
      <c r="M458">
        <v>5</v>
      </c>
      <c r="N458">
        <v>5408.7</v>
      </c>
    </row>
    <row r="459" spans="1:14" x14ac:dyDescent="0.3">
      <c r="A459">
        <v>458</v>
      </c>
      <c r="B459" s="37">
        <v>45593</v>
      </c>
      <c r="C459">
        <v>106</v>
      </c>
      <c r="D459" t="s">
        <v>63</v>
      </c>
      <c r="E459" t="s">
        <v>21</v>
      </c>
      <c r="F459">
        <v>30</v>
      </c>
      <c r="G459" t="s">
        <v>59</v>
      </c>
      <c r="H459" t="s">
        <v>33</v>
      </c>
      <c r="I459">
        <v>19</v>
      </c>
      <c r="J459" t="s">
        <v>84</v>
      </c>
      <c r="K459" t="s">
        <v>43</v>
      </c>
      <c r="L459">
        <v>1048.43</v>
      </c>
      <c r="M459">
        <v>4</v>
      </c>
      <c r="N459">
        <v>4193.72</v>
      </c>
    </row>
    <row r="460" spans="1:14" x14ac:dyDescent="0.3">
      <c r="A460">
        <v>459</v>
      </c>
      <c r="B460" s="37">
        <v>45809</v>
      </c>
      <c r="C460">
        <v>72</v>
      </c>
      <c r="D460" t="s">
        <v>35</v>
      </c>
      <c r="E460" t="s">
        <v>36</v>
      </c>
      <c r="F460">
        <v>43</v>
      </c>
      <c r="G460" t="s">
        <v>16</v>
      </c>
      <c r="H460" t="s">
        <v>17</v>
      </c>
      <c r="I460">
        <v>13</v>
      </c>
      <c r="J460" t="s">
        <v>40</v>
      </c>
      <c r="K460" t="s">
        <v>38</v>
      </c>
      <c r="L460">
        <v>1340.6</v>
      </c>
      <c r="M460">
        <v>5</v>
      </c>
      <c r="N460">
        <v>6703</v>
      </c>
    </row>
    <row r="461" spans="1:14" x14ac:dyDescent="0.3">
      <c r="A461">
        <v>460</v>
      </c>
      <c r="B461" s="37">
        <v>45732</v>
      </c>
      <c r="C461">
        <v>32</v>
      </c>
      <c r="D461" t="s">
        <v>39</v>
      </c>
      <c r="E461" t="s">
        <v>36</v>
      </c>
      <c r="F461">
        <v>150</v>
      </c>
      <c r="G461" t="s">
        <v>16</v>
      </c>
      <c r="H461" t="s">
        <v>17</v>
      </c>
      <c r="I461">
        <v>9</v>
      </c>
      <c r="J461" t="s">
        <v>76</v>
      </c>
      <c r="K461" t="s">
        <v>71</v>
      </c>
      <c r="L461">
        <v>585.21</v>
      </c>
      <c r="M461">
        <v>1</v>
      </c>
      <c r="N461">
        <v>585.21</v>
      </c>
    </row>
    <row r="462" spans="1:14" x14ac:dyDescent="0.3">
      <c r="A462">
        <v>461</v>
      </c>
      <c r="B462" s="37">
        <v>46010</v>
      </c>
      <c r="C462">
        <v>80</v>
      </c>
      <c r="D462" t="s">
        <v>56</v>
      </c>
      <c r="E462" t="s">
        <v>27</v>
      </c>
      <c r="F462">
        <v>24</v>
      </c>
      <c r="G462" t="s">
        <v>52</v>
      </c>
      <c r="H462" t="s">
        <v>53</v>
      </c>
      <c r="I462">
        <v>19</v>
      </c>
      <c r="J462" t="s">
        <v>84</v>
      </c>
      <c r="K462" t="s">
        <v>43</v>
      </c>
      <c r="L462">
        <v>1048.43</v>
      </c>
      <c r="M462">
        <v>1</v>
      </c>
      <c r="N462">
        <v>1048.43</v>
      </c>
    </row>
    <row r="463" spans="1:14" x14ac:dyDescent="0.3">
      <c r="A463">
        <v>462</v>
      </c>
      <c r="B463" s="37">
        <v>45962</v>
      </c>
      <c r="C463">
        <v>4</v>
      </c>
      <c r="D463" t="s">
        <v>35</v>
      </c>
      <c r="E463" t="s">
        <v>31</v>
      </c>
      <c r="F463">
        <v>50</v>
      </c>
      <c r="G463" t="s">
        <v>59</v>
      </c>
      <c r="H463" t="s">
        <v>33</v>
      </c>
      <c r="I463">
        <v>29</v>
      </c>
      <c r="J463" t="s">
        <v>65</v>
      </c>
      <c r="K463" t="s">
        <v>25</v>
      </c>
      <c r="L463">
        <v>1136.55</v>
      </c>
      <c r="M463">
        <v>6</v>
      </c>
      <c r="N463">
        <v>6819.3</v>
      </c>
    </row>
    <row r="464" spans="1:14" x14ac:dyDescent="0.3">
      <c r="A464">
        <v>463</v>
      </c>
      <c r="B464" s="37">
        <v>45856</v>
      </c>
      <c r="C464">
        <v>20</v>
      </c>
      <c r="D464" t="s">
        <v>30</v>
      </c>
      <c r="E464" t="s">
        <v>47</v>
      </c>
      <c r="F464">
        <v>67</v>
      </c>
      <c r="G464" t="s">
        <v>49</v>
      </c>
      <c r="H464" t="s">
        <v>50</v>
      </c>
      <c r="I464">
        <v>4</v>
      </c>
      <c r="J464" t="s">
        <v>48</v>
      </c>
      <c r="K464" t="s">
        <v>29</v>
      </c>
      <c r="L464">
        <v>1156.21</v>
      </c>
      <c r="M464">
        <v>6</v>
      </c>
      <c r="N464">
        <v>6937.26</v>
      </c>
    </row>
    <row r="465" spans="1:14" x14ac:dyDescent="0.3">
      <c r="A465">
        <v>464</v>
      </c>
      <c r="B465" s="37">
        <v>45512</v>
      </c>
      <c r="C465">
        <v>29</v>
      </c>
      <c r="D465" t="s">
        <v>63</v>
      </c>
      <c r="E465" t="s">
        <v>15</v>
      </c>
      <c r="F465">
        <v>56</v>
      </c>
      <c r="G465" t="s">
        <v>59</v>
      </c>
      <c r="H465" t="s">
        <v>33</v>
      </c>
      <c r="I465">
        <v>30</v>
      </c>
      <c r="J465" t="s">
        <v>73</v>
      </c>
      <c r="K465" t="s">
        <v>25</v>
      </c>
      <c r="L465">
        <v>672.22</v>
      </c>
      <c r="M465">
        <v>4</v>
      </c>
      <c r="N465">
        <v>2688.88</v>
      </c>
    </row>
    <row r="466" spans="1:14" x14ac:dyDescent="0.3">
      <c r="A466">
        <v>465</v>
      </c>
      <c r="B466" s="37">
        <v>45754</v>
      </c>
      <c r="C466">
        <v>31</v>
      </c>
      <c r="D466" t="s">
        <v>30</v>
      </c>
      <c r="E466" t="s">
        <v>60</v>
      </c>
      <c r="F466">
        <v>66</v>
      </c>
      <c r="G466" t="s">
        <v>59</v>
      </c>
      <c r="H466" t="s">
        <v>33</v>
      </c>
      <c r="I466">
        <v>16</v>
      </c>
      <c r="J466" t="s">
        <v>64</v>
      </c>
      <c r="K466" t="s">
        <v>43</v>
      </c>
      <c r="L466">
        <v>1170.95</v>
      </c>
      <c r="M466">
        <v>2</v>
      </c>
      <c r="N466">
        <v>2341.9</v>
      </c>
    </row>
    <row r="467" spans="1:14" x14ac:dyDescent="0.3">
      <c r="A467">
        <v>466</v>
      </c>
      <c r="B467" s="37">
        <v>45715</v>
      </c>
      <c r="C467">
        <v>20</v>
      </c>
      <c r="D467" t="s">
        <v>30</v>
      </c>
      <c r="E467" t="s">
        <v>47</v>
      </c>
      <c r="F467">
        <v>67</v>
      </c>
      <c r="G467" t="s">
        <v>49</v>
      </c>
      <c r="H467" t="s">
        <v>50</v>
      </c>
      <c r="I467">
        <v>30</v>
      </c>
      <c r="J467" t="s">
        <v>73</v>
      </c>
      <c r="K467" t="s">
        <v>25</v>
      </c>
      <c r="L467">
        <v>672.22</v>
      </c>
      <c r="M467">
        <v>3</v>
      </c>
      <c r="N467">
        <v>2016.66</v>
      </c>
    </row>
    <row r="468" spans="1:14" x14ac:dyDescent="0.3">
      <c r="A468">
        <v>467</v>
      </c>
      <c r="B468" s="37">
        <v>45756</v>
      </c>
      <c r="C468">
        <v>58</v>
      </c>
      <c r="D468" t="s">
        <v>35</v>
      </c>
      <c r="E468" t="s">
        <v>27</v>
      </c>
      <c r="F468">
        <v>46</v>
      </c>
      <c r="G468" t="s">
        <v>52</v>
      </c>
      <c r="H468" t="s">
        <v>53</v>
      </c>
      <c r="I468">
        <v>25</v>
      </c>
      <c r="J468" t="s">
        <v>61</v>
      </c>
      <c r="K468" t="s">
        <v>19</v>
      </c>
      <c r="L468">
        <v>705</v>
      </c>
      <c r="M468">
        <v>4</v>
      </c>
      <c r="N468">
        <v>2820</v>
      </c>
    </row>
    <row r="469" spans="1:14" x14ac:dyDescent="0.3">
      <c r="A469">
        <v>468</v>
      </c>
      <c r="B469" s="37">
        <v>45717</v>
      </c>
      <c r="C469">
        <v>113</v>
      </c>
      <c r="D469" t="s">
        <v>30</v>
      </c>
      <c r="E469" t="s">
        <v>41</v>
      </c>
      <c r="F469">
        <v>29</v>
      </c>
      <c r="G469" t="s">
        <v>32</v>
      </c>
      <c r="H469" t="s">
        <v>33</v>
      </c>
      <c r="I469">
        <v>20</v>
      </c>
      <c r="J469" t="s">
        <v>58</v>
      </c>
      <c r="K469" t="s">
        <v>43</v>
      </c>
      <c r="L469">
        <v>704.86</v>
      </c>
      <c r="M469">
        <v>6</v>
      </c>
      <c r="N469">
        <v>4229.16</v>
      </c>
    </row>
    <row r="470" spans="1:14" x14ac:dyDescent="0.3">
      <c r="A470">
        <v>469</v>
      </c>
      <c r="B470" s="37">
        <v>45389</v>
      </c>
      <c r="C470">
        <v>22</v>
      </c>
      <c r="D470" t="s">
        <v>56</v>
      </c>
      <c r="E470" t="s">
        <v>27</v>
      </c>
      <c r="F470">
        <v>31</v>
      </c>
      <c r="G470" t="s">
        <v>32</v>
      </c>
      <c r="H470" t="s">
        <v>33</v>
      </c>
      <c r="I470">
        <v>22</v>
      </c>
      <c r="J470" t="s">
        <v>85</v>
      </c>
      <c r="K470" t="s">
        <v>19</v>
      </c>
      <c r="L470">
        <v>1377.44</v>
      </c>
      <c r="M470">
        <v>3</v>
      </c>
      <c r="N470">
        <v>4132.32</v>
      </c>
    </row>
    <row r="471" spans="1:14" x14ac:dyDescent="0.3">
      <c r="A471">
        <v>470</v>
      </c>
      <c r="B471" s="37">
        <v>45729</v>
      </c>
      <c r="C471">
        <v>19</v>
      </c>
      <c r="D471" t="s">
        <v>103</v>
      </c>
      <c r="E471" t="s">
        <v>74</v>
      </c>
      <c r="G471" t="s">
        <v>49</v>
      </c>
      <c r="H471" t="s">
        <v>50</v>
      </c>
      <c r="I471">
        <v>10</v>
      </c>
      <c r="J471" t="s">
        <v>70</v>
      </c>
      <c r="K471" t="s">
        <v>71</v>
      </c>
      <c r="L471">
        <v>608.48</v>
      </c>
      <c r="M471">
        <v>3</v>
      </c>
      <c r="N471">
        <v>1825.44</v>
      </c>
    </row>
    <row r="472" spans="1:14" x14ac:dyDescent="0.3">
      <c r="A472">
        <v>471</v>
      </c>
      <c r="B472" s="37">
        <v>45973</v>
      </c>
      <c r="C472">
        <v>47</v>
      </c>
      <c r="D472" t="s">
        <v>79</v>
      </c>
      <c r="E472" t="s">
        <v>31</v>
      </c>
      <c r="F472">
        <v>18</v>
      </c>
      <c r="G472" t="s">
        <v>49</v>
      </c>
      <c r="H472" t="s">
        <v>50</v>
      </c>
      <c r="I472">
        <v>4</v>
      </c>
      <c r="J472" t="s">
        <v>48</v>
      </c>
      <c r="K472" t="s">
        <v>29</v>
      </c>
      <c r="L472">
        <v>1156.21</v>
      </c>
      <c r="M472">
        <v>3</v>
      </c>
      <c r="N472">
        <v>3468.63</v>
      </c>
    </row>
    <row r="473" spans="1:14" x14ac:dyDescent="0.3">
      <c r="A473">
        <v>472</v>
      </c>
      <c r="B473" s="37">
        <v>45675</v>
      </c>
      <c r="C473">
        <v>76</v>
      </c>
      <c r="D473" t="s">
        <v>72</v>
      </c>
      <c r="E473" t="s">
        <v>47</v>
      </c>
      <c r="F473">
        <v>150</v>
      </c>
      <c r="G473" t="s">
        <v>22</v>
      </c>
      <c r="H473" t="s">
        <v>23</v>
      </c>
      <c r="I473">
        <v>5</v>
      </c>
      <c r="J473" t="s">
        <v>82</v>
      </c>
      <c r="K473" t="s">
        <v>29</v>
      </c>
      <c r="L473">
        <v>691.29</v>
      </c>
      <c r="M473">
        <v>2</v>
      </c>
      <c r="N473">
        <v>1382.58</v>
      </c>
    </row>
    <row r="474" spans="1:14" x14ac:dyDescent="0.3">
      <c r="A474">
        <v>473</v>
      </c>
      <c r="B474" s="37">
        <v>45995</v>
      </c>
      <c r="C474">
        <v>99</v>
      </c>
      <c r="D474" t="s">
        <v>83</v>
      </c>
      <c r="E474" t="s">
        <v>74</v>
      </c>
      <c r="F474">
        <v>40</v>
      </c>
      <c r="G474" t="s">
        <v>49</v>
      </c>
      <c r="H474" t="s">
        <v>50</v>
      </c>
      <c r="I474">
        <v>1</v>
      </c>
      <c r="J474" t="s">
        <v>69</v>
      </c>
      <c r="K474" t="s">
        <v>29</v>
      </c>
      <c r="L474">
        <v>83.63</v>
      </c>
      <c r="M474">
        <v>4</v>
      </c>
      <c r="N474">
        <v>334.52</v>
      </c>
    </row>
    <row r="475" spans="1:14" x14ac:dyDescent="0.3">
      <c r="A475">
        <v>474</v>
      </c>
      <c r="B475" s="37">
        <v>45360</v>
      </c>
      <c r="C475">
        <v>26</v>
      </c>
      <c r="D475" t="s">
        <v>36</v>
      </c>
      <c r="E475" t="s">
        <v>31</v>
      </c>
      <c r="F475">
        <v>26</v>
      </c>
      <c r="G475" t="s">
        <v>32</v>
      </c>
      <c r="H475" t="s">
        <v>33</v>
      </c>
      <c r="I475">
        <v>4</v>
      </c>
      <c r="J475" t="s">
        <v>48</v>
      </c>
      <c r="K475" t="s">
        <v>29</v>
      </c>
      <c r="L475">
        <v>1156.21</v>
      </c>
      <c r="M475">
        <v>1</v>
      </c>
      <c r="N475">
        <v>1156.21</v>
      </c>
    </row>
    <row r="476" spans="1:14" x14ac:dyDescent="0.3">
      <c r="A476">
        <v>475</v>
      </c>
      <c r="B476" s="37">
        <v>45379</v>
      </c>
      <c r="C476">
        <v>81</v>
      </c>
      <c r="D476" t="s">
        <v>56</v>
      </c>
      <c r="E476" t="s">
        <v>36</v>
      </c>
      <c r="F476">
        <v>56</v>
      </c>
      <c r="G476" t="s">
        <v>52</v>
      </c>
      <c r="H476" t="s">
        <v>53</v>
      </c>
      <c r="I476">
        <v>13</v>
      </c>
      <c r="J476" t="s">
        <v>40</v>
      </c>
      <c r="K476" t="s">
        <v>38</v>
      </c>
      <c r="L476">
        <v>1340.6</v>
      </c>
      <c r="M476">
        <v>1</v>
      </c>
      <c r="N476">
        <v>1340.6</v>
      </c>
    </row>
    <row r="477" spans="1:14" x14ac:dyDescent="0.3">
      <c r="A477">
        <v>476</v>
      </c>
      <c r="B477" s="37">
        <v>45734</v>
      </c>
      <c r="C477">
        <v>114</v>
      </c>
      <c r="D477" t="s">
        <v>63</v>
      </c>
      <c r="E477" t="s">
        <v>60</v>
      </c>
      <c r="F477">
        <v>18</v>
      </c>
      <c r="G477" t="s">
        <v>22</v>
      </c>
      <c r="H477" t="s">
        <v>23</v>
      </c>
      <c r="I477">
        <v>23</v>
      </c>
      <c r="J477" t="s">
        <v>18</v>
      </c>
      <c r="K477" t="s">
        <v>19</v>
      </c>
      <c r="L477">
        <v>195.22</v>
      </c>
      <c r="M477">
        <v>1</v>
      </c>
      <c r="N477">
        <v>195.22</v>
      </c>
    </row>
    <row r="478" spans="1:14" x14ac:dyDescent="0.3">
      <c r="A478">
        <v>477</v>
      </c>
      <c r="B478" s="37">
        <v>45673</v>
      </c>
      <c r="C478">
        <v>6</v>
      </c>
      <c r="D478" t="s">
        <v>35</v>
      </c>
      <c r="E478" t="s">
        <v>74</v>
      </c>
      <c r="F478">
        <v>55</v>
      </c>
      <c r="G478" t="s">
        <v>32</v>
      </c>
      <c r="H478" t="s">
        <v>33</v>
      </c>
      <c r="I478">
        <v>4</v>
      </c>
      <c r="J478" t="s">
        <v>48</v>
      </c>
      <c r="K478" t="s">
        <v>29</v>
      </c>
      <c r="L478">
        <v>1156.21</v>
      </c>
      <c r="M478">
        <v>2</v>
      </c>
      <c r="N478">
        <v>2312.42</v>
      </c>
    </row>
    <row r="479" spans="1:14" x14ac:dyDescent="0.3">
      <c r="A479">
        <v>478</v>
      </c>
      <c r="B479" s="37">
        <v>45861</v>
      </c>
      <c r="C479">
        <v>64</v>
      </c>
      <c r="D479" t="s">
        <v>72</v>
      </c>
      <c r="E479" t="s">
        <v>31</v>
      </c>
      <c r="F479">
        <v>36</v>
      </c>
      <c r="G479" t="s">
        <v>52</v>
      </c>
      <c r="H479" t="s">
        <v>53</v>
      </c>
      <c r="I479">
        <v>26</v>
      </c>
      <c r="J479" t="s">
        <v>54</v>
      </c>
      <c r="K479" t="s">
        <v>25</v>
      </c>
      <c r="L479">
        <v>803.73</v>
      </c>
      <c r="M479">
        <v>1</v>
      </c>
      <c r="N479">
        <v>803.73</v>
      </c>
    </row>
    <row r="480" spans="1:14" x14ac:dyDescent="0.3">
      <c r="A480">
        <v>479</v>
      </c>
      <c r="B480" s="37">
        <v>45892</v>
      </c>
      <c r="C480">
        <v>85</v>
      </c>
      <c r="D480" t="s">
        <v>26</v>
      </c>
      <c r="E480" t="s">
        <v>62</v>
      </c>
      <c r="F480">
        <v>39</v>
      </c>
      <c r="G480" t="s">
        <v>22</v>
      </c>
      <c r="H480" t="s">
        <v>23</v>
      </c>
      <c r="I480">
        <v>20</v>
      </c>
      <c r="J480" t="s">
        <v>58</v>
      </c>
      <c r="K480" t="s">
        <v>43</v>
      </c>
      <c r="L480">
        <v>704.86</v>
      </c>
      <c r="M480">
        <v>5</v>
      </c>
      <c r="N480">
        <v>3524.3</v>
      </c>
    </row>
    <row r="481" spans="1:14" x14ac:dyDescent="0.3">
      <c r="A481">
        <v>480</v>
      </c>
      <c r="B481" s="37">
        <v>45867</v>
      </c>
      <c r="C481">
        <v>5</v>
      </c>
      <c r="D481" t="s">
        <v>20</v>
      </c>
      <c r="E481" t="s">
        <v>31</v>
      </c>
      <c r="F481">
        <v>63</v>
      </c>
      <c r="G481" t="s">
        <v>32</v>
      </c>
      <c r="H481" t="s">
        <v>33</v>
      </c>
      <c r="I481">
        <v>24</v>
      </c>
      <c r="J481" t="s">
        <v>45</v>
      </c>
      <c r="K481" t="s">
        <v>19</v>
      </c>
      <c r="L481">
        <v>213.01</v>
      </c>
      <c r="M481">
        <v>3</v>
      </c>
      <c r="N481">
        <v>639.03</v>
      </c>
    </row>
    <row r="482" spans="1:14" x14ac:dyDescent="0.3">
      <c r="A482">
        <v>481</v>
      </c>
      <c r="B482" s="37">
        <v>45978</v>
      </c>
      <c r="C482">
        <v>76</v>
      </c>
      <c r="D482" t="s">
        <v>72</v>
      </c>
      <c r="E482" t="s">
        <v>47</v>
      </c>
      <c r="F482">
        <v>22</v>
      </c>
      <c r="G482" t="s">
        <v>22</v>
      </c>
      <c r="H482" t="s">
        <v>23</v>
      </c>
      <c r="I482">
        <v>26</v>
      </c>
      <c r="J482" t="s">
        <v>54</v>
      </c>
      <c r="K482" t="s">
        <v>25</v>
      </c>
      <c r="L482">
        <v>803.73</v>
      </c>
      <c r="M482">
        <v>1</v>
      </c>
      <c r="N482">
        <v>803.73</v>
      </c>
    </row>
    <row r="483" spans="1:14" x14ac:dyDescent="0.3">
      <c r="A483">
        <v>482</v>
      </c>
      <c r="B483" s="37">
        <v>45712</v>
      </c>
      <c r="C483">
        <v>63</v>
      </c>
      <c r="D483" t="s">
        <v>51</v>
      </c>
      <c r="E483" t="s">
        <v>74</v>
      </c>
      <c r="F483">
        <v>36</v>
      </c>
      <c r="G483" t="s">
        <v>22</v>
      </c>
      <c r="H483" t="s">
        <v>23</v>
      </c>
      <c r="I483">
        <v>2</v>
      </c>
      <c r="J483" t="s">
        <v>34</v>
      </c>
      <c r="K483" t="s">
        <v>29</v>
      </c>
      <c r="L483">
        <v>1476.14</v>
      </c>
      <c r="M483">
        <v>3</v>
      </c>
      <c r="N483">
        <v>4428.42</v>
      </c>
    </row>
    <row r="484" spans="1:14" x14ac:dyDescent="0.3">
      <c r="A484">
        <v>483</v>
      </c>
      <c r="B484" s="37">
        <v>45973</v>
      </c>
      <c r="C484">
        <v>39</v>
      </c>
      <c r="D484" t="s">
        <v>39</v>
      </c>
      <c r="E484" t="s">
        <v>41</v>
      </c>
      <c r="F484">
        <v>49</v>
      </c>
      <c r="G484" t="s">
        <v>59</v>
      </c>
      <c r="H484" t="s">
        <v>33</v>
      </c>
      <c r="I484">
        <v>12</v>
      </c>
      <c r="J484" t="s">
        <v>37</v>
      </c>
      <c r="K484" t="s">
        <v>38</v>
      </c>
      <c r="L484">
        <v>1036.1199999999999</v>
      </c>
      <c r="M484">
        <v>4</v>
      </c>
      <c r="N484">
        <v>4144.4799999999996</v>
      </c>
    </row>
    <row r="485" spans="1:14" x14ac:dyDescent="0.3">
      <c r="A485">
        <v>484</v>
      </c>
      <c r="B485" s="37">
        <v>45344</v>
      </c>
      <c r="C485">
        <v>107</v>
      </c>
      <c r="D485" t="s">
        <v>46</v>
      </c>
      <c r="E485" t="s">
        <v>15</v>
      </c>
      <c r="F485">
        <v>18</v>
      </c>
      <c r="G485" t="s">
        <v>32</v>
      </c>
      <c r="H485" t="s">
        <v>33</v>
      </c>
      <c r="I485">
        <v>22</v>
      </c>
      <c r="J485" t="s">
        <v>85</v>
      </c>
      <c r="K485" t="s">
        <v>19</v>
      </c>
      <c r="L485">
        <v>1377.44</v>
      </c>
      <c r="M485">
        <v>3</v>
      </c>
      <c r="N485">
        <v>4132.32</v>
      </c>
    </row>
    <row r="486" spans="1:14" x14ac:dyDescent="0.3">
      <c r="A486">
        <v>485</v>
      </c>
      <c r="B486" s="37">
        <v>45906</v>
      </c>
      <c r="C486">
        <v>105</v>
      </c>
      <c r="D486" t="s">
        <v>46</v>
      </c>
      <c r="E486" t="s">
        <v>47</v>
      </c>
      <c r="F486">
        <v>45</v>
      </c>
      <c r="G486" t="s">
        <v>16</v>
      </c>
      <c r="H486" t="s">
        <v>17</v>
      </c>
      <c r="I486">
        <v>9</v>
      </c>
      <c r="J486" t="s">
        <v>76</v>
      </c>
      <c r="K486" t="s">
        <v>71</v>
      </c>
      <c r="L486">
        <v>585.21</v>
      </c>
      <c r="M486">
        <v>3</v>
      </c>
      <c r="N486">
        <v>1755.63</v>
      </c>
    </row>
    <row r="487" spans="1:14" x14ac:dyDescent="0.3">
      <c r="A487">
        <v>486</v>
      </c>
      <c r="B487" s="37">
        <v>45652</v>
      </c>
      <c r="C487">
        <v>106</v>
      </c>
      <c r="D487" t="s">
        <v>63</v>
      </c>
      <c r="E487" t="s">
        <v>21</v>
      </c>
      <c r="F487">
        <v>30</v>
      </c>
      <c r="G487" t="s">
        <v>59</v>
      </c>
      <c r="H487" t="s">
        <v>33</v>
      </c>
      <c r="I487">
        <v>2</v>
      </c>
      <c r="J487" t="s">
        <v>34</v>
      </c>
      <c r="K487" t="s">
        <v>29</v>
      </c>
      <c r="L487">
        <v>1476.14</v>
      </c>
      <c r="M487">
        <v>1</v>
      </c>
      <c r="N487">
        <v>1476.14</v>
      </c>
    </row>
    <row r="488" spans="1:14" x14ac:dyDescent="0.3">
      <c r="A488">
        <v>487</v>
      </c>
      <c r="B488" s="37">
        <v>45883</v>
      </c>
      <c r="C488">
        <v>26</v>
      </c>
      <c r="D488" t="s">
        <v>36</v>
      </c>
      <c r="E488" t="s">
        <v>31</v>
      </c>
      <c r="F488">
        <v>26</v>
      </c>
      <c r="G488" t="s">
        <v>32</v>
      </c>
      <c r="H488" t="s">
        <v>33</v>
      </c>
      <c r="I488">
        <v>21</v>
      </c>
      <c r="J488" t="s">
        <v>66</v>
      </c>
      <c r="K488" t="s">
        <v>19</v>
      </c>
      <c r="L488">
        <v>842.75</v>
      </c>
      <c r="M488">
        <v>5</v>
      </c>
      <c r="N488">
        <v>4213.75</v>
      </c>
    </row>
    <row r="489" spans="1:14" x14ac:dyDescent="0.3">
      <c r="A489">
        <v>488</v>
      </c>
      <c r="B489" s="37">
        <v>45509</v>
      </c>
      <c r="C489">
        <v>50</v>
      </c>
      <c r="D489" t="s">
        <v>35</v>
      </c>
      <c r="E489" t="s">
        <v>60</v>
      </c>
      <c r="F489">
        <v>26</v>
      </c>
      <c r="G489" t="s">
        <v>52</v>
      </c>
      <c r="H489" t="s">
        <v>53</v>
      </c>
      <c r="I489">
        <v>12</v>
      </c>
      <c r="J489" t="s">
        <v>37</v>
      </c>
      <c r="K489" t="s">
        <v>38</v>
      </c>
      <c r="L489">
        <v>1036.1199999999999</v>
      </c>
      <c r="M489">
        <v>2</v>
      </c>
      <c r="N489">
        <v>2072.2399999999998</v>
      </c>
    </row>
    <row r="490" spans="1:14" x14ac:dyDescent="0.3">
      <c r="A490">
        <v>489</v>
      </c>
      <c r="B490" s="37">
        <v>45964</v>
      </c>
      <c r="C490">
        <v>67</v>
      </c>
      <c r="D490" t="s">
        <v>26</v>
      </c>
      <c r="E490" t="s">
        <v>60</v>
      </c>
      <c r="F490">
        <v>23</v>
      </c>
      <c r="G490" t="s">
        <v>52</v>
      </c>
      <c r="H490" t="s">
        <v>53</v>
      </c>
      <c r="I490">
        <v>23</v>
      </c>
      <c r="J490" t="s">
        <v>18</v>
      </c>
      <c r="K490" t="s">
        <v>19</v>
      </c>
      <c r="L490">
        <v>195.22</v>
      </c>
      <c r="M490">
        <v>4</v>
      </c>
      <c r="N490">
        <v>780.88</v>
      </c>
    </row>
    <row r="491" spans="1:14" x14ac:dyDescent="0.3">
      <c r="A491">
        <v>490</v>
      </c>
      <c r="B491" s="37">
        <v>45521</v>
      </c>
      <c r="C491">
        <v>48</v>
      </c>
      <c r="D491" t="s">
        <v>35</v>
      </c>
      <c r="E491" t="s">
        <v>27</v>
      </c>
      <c r="F491">
        <v>20</v>
      </c>
      <c r="G491" t="s">
        <v>32</v>
      </c>
      <c r="H491" t="s">
        <v>33</v>
      </c>
      <c r="I491">
        <v>22</v>
      </c>
      <c r="J491" t="s">
        <v>85</v>
      </c>
      <c r="K491" t="s">
        <v>19</v>
      </c>
      <c r="L491">
        <v>1377.44</v>
      </c>
      <c r="M491">
        <v>1</v>
      </c>
      <c r="N491">
        <v>1377.44</v>
      </c>
    </row>
    <row r="492" spans="1:14" x14ac:dyDescent="0.3">
      <c r="A492">
        <v>491</v>
      </c>
      <c r="B492" s="37">
        <v>45650</v>
      </c>
      <c r="C492">
        <v>36</v>
      </c>
      <c r="D492" t="s">
        <v>79</v>
      </c>
      <c r="E492" t="s">
        <v>47</v>
      </c>
      <c r="F492">
        <v>49</v>
      </c>
      <c r="G492" t="s">
        <v>32</v>
      </c>
      <c r="H492" t="s">
        <v>33</v>
      </c>
      <c r="I492">
        <v>18</v>
      </c>
      <c r="J492" t="s">
        <v>68</v>
      </c>
      <c r="K492" t="s">
        <v>43</v>
      </c>
      <c r="L492">
        <v>1209.0999999999999</v>
      </c>
      <c r="M492">
        <v>5</v>
      </c>
      <c r="N492">
        <v>6045.5</v>
      </c>
    </row>
    <row r="493" spans="1:14" x14ac:dyDescent="0.3">
      <c r="A493">
        <v>492</v>
      </c>
      <c r="B493" s="37">
        <v>45668</v>
      </c>
      <c r="C493">
        <v>32</v>
      </c>
      <c r="D493" t="s">
        <v>39</v>
      </c>
      <c r="E493" t="s">
        <v>36</v>
      </c>
      <c r="F493">
        <v>45</v>
      </c>
      <c r="G493" t="s">
        <v>16</v>
      </c>
      <c r="H493" t="s">
        <v>17</v>
      </c>
      <c r="I493">
        <v>5</v>
      </c>
      <c r="J493" t="s">
        <v>82</v>
      </c>
      <c r="K493" t="s">
        <v>29</v>
      </c>
      <c r="L493">
        <v>691.29</v>
      </c>
      <c r="M493">
        <v>1</v>
      </c>
      <c r="N493">
        <v>691.29</v>
      </c>
    </row>
    <row r="494" spans="1:14" x14ac:dyDescent="0.3">
      <c r="A494">
        <v>493</v>
      </c>
      <c r="B494" s="37">
        <v>45577</v>
      </c>
      <c r="C494">
        <v>82</v>
      </c>
      <c r="D494" t="s">
        <v>35</v>
      </c>
      <c r="E494" t="s">
        <v>44</v>
      </c>
      <c r="F494">
        <v>58</v>
      </c>
      <c r="G494" t="s">
        <v>16</v>
      </c>
      <c r="H494" t="s">
        <v>17</v>
      </c>
      <c r="I494">
        <v>23</v>
      </c>
      <c r="J494" t="s">
        <v>18</v>
      </c>
      <c r="K494" t="s">
        <v>19</v>
      </c>
      <c r="L494">
        <v>195.22</v>
      </c>
      <c r="M494">
        <v>5</v>
      </c>
      <c r="N494">
        <v>976.1</v>
      </c>
    </row>
    <row r="495" spans="1:14" x14ac:dyDescent="0.3">
      <c r="A495">
        <v>494</v>
      </c>
      <c r="B495" s="37">
        <v>45523</v>
      </c>
      <c r="C495">
        <v>102</v>
      </c>
      <c r="D495" t="s">
        <v>36</v>
      </c>
      <c r="E495" t="s">
        <v>44</v>
      </c>
      <c r="F495">
        <v>50</v>
      </c>
      <c r="G495" t="s">
        <v>22</v>
      </c>
      <c r="H495" t="s">
        <v>23</v>
      </c>
      <c r="I495">
        <v>1</v>
      </c>
      <c r="J495" t="s">
        <v>69</v>
      </c>
      <c r="K495" t="s">
        <v>29</v>
      </c>
      <c r="L495">
        <v>83.63</v>
      </c>
      <c r="M495">
        <v>4</v>
      </c>
      <c r="N495">
        <v>334.52</v>
      </c>
    </row>
    <row r="496" spans="1:14" x14ac:dyDescent="0.3">
      <c r="A496">
        <v>495</v>
      </c>
      <c r="B496" s="37">
        <v>45866</v>
      </c>
      <c r="C496">
        <v>9</v>
      </c>
      <c r="D496" t="s">
        <v>39</v>
      </c>
      <c r="E496" t="s">
        <v>27</v>
      </c>
      <c r="F496">
        <v>42</v>
      </c>
      <c r="G496" t="s">
        <v>16</v>
      </c>
      <c r="H496" t="s">
        <v>17</v>
      </c>
      <c r="I496">
        <v>29</v>
      </c>
      <c r="J496" t="s">
        <v>65</v>
      </c>
      <c r="K496" t="s">
        <v>25</v>
      </c>
      <c r="L496">
        <v>1136.55</v>
      </c>
      <c r="M496">
        <v>5</v>
      </c>
      <c r="N496">
        <v>5682.75</v>
      </c>
    </row>
    <row r="497" spans="1:14" x14ac:dyDescent="0.3">
      <c r="A497">
        <v>496</v>
      </c>
      <c r="B497" s="37">
        <v>45920</v>
      </c>
      <c r="C497">
        <v>76</v>
      </c>
      <c r="D497" t="s">
        <v>72</v>
      </c>
      <c r="E497" t="s">
        <v>47</v>
      </c>
      <c r="F497">
        <v>22</v>
      </c>
      <c r="G497" t="s">
        <v>22</v>
      </c>
      <c r="I497">
        <v>9</v>
      </c>
      <c r="J497" t="s">
        <v>76</v>
      </c>
      <c r="K497" t="s">
        <v>71</v>
      </c>
      <c r="L497">
        <v>585.21</v>
      </c>
      <c r="M497">
        <v>6</v>
      </c>
      <c r="N497">
        <v>3511.26</v>
      </c>
    </row>
    <row r="498" spans="1:14" x14ac:dyDescent="0.3">
      <c r="A498">
        <v>497</v>
      </c>
      <c r="B498" s="37">
        <v>45950</v>
      </c>
      <c r="C498">
        <v>118</v>
      </c>
      <c r="D498" t="s">
        <v>30</v>
      </c>
      <c r="E498" t="s">
        <v>27</v>
      </c>
      <c r="F498">
        <v>36</v>
      </c>
      <c r="G498" t="s">
        <v>52</v>
      </c>
      <c r="H498" t="s">
        <v>53</v>
      </c>
      <c r="I498">
        <v>2</v>
      </c>
      <c r="J498" t="s">
        <v>34</v>
      </c>
      <c r="K498" t="s">
        <v>29</v>
      </c>
      <c r="L498">
        <v>1476.14</v>
      </c>
      <c r="M498">
        <v>5</v>
      </c>
      <c r="N498">
        <v>7380.7</v>
      </c>
    </row>
    <row r="499" spans="1:14" x14ac:dyDescent="0.3">
      <c r="A499">
        <v>498</v>
      </c>
      <c r="B499" s="37">
        <v>45318</v>
      </c>
      <c r="C499">
        <v>114</v>
      </c>
      <c r="D499" t="s">
        <v>63</v>
      </c>
      <c r="E499" t="s">
        <v>60</v>
      </c>
      <c r="F499">
        <v>18</v>
      </c>
      <c r="G499" t="s">
        <v>22</v>
      </c>
      <c r="H499" t="s">
        <v>23</v>
      </c>
      <c r="I499">
        <v>19</v>
      </c>
      <c r="J499" t="s">
        <v>84</v>
      </c>
      <c r="K499" t="s">
        <v>43</v>
      </c>
      <c r="L499">
        <v>1048.43</v>
      </c>
      <c r="M499">
        <v>5</v>
      </c>
      <c r="N499">
        <v>5242.1499999999996</v>
      </c>
    </row>
    <row r="500" spans="1:14" x14ac:dyDescent="0.3">
      <c r="A500">
        <v>499</v>
      </c>
      <c r="B500" s="37">
        <v>45965</v>
      </c>
      <c r="C500">
        <v>25</v>
      </c>
      <c r="D500" t="s">
        <v>46</v>
      </c>
      <c r="E500" t="s">
        <v>21</v>
      </c>
      <c r="F500">
        <v>45</v>
      </c>
      <c r="G500" t="s">
        <v>22</v>
      </c>
      <c r="H500" t="s">
        <v>23</v>
      </c>
      <c r="I500">
        <v>20</v>
      </c>
      <c r="J500" t="s">
        <v>58</v>
      </c>
      <c r="K500" t="s">
        <v>92</v>
      </c>
      <c r="L500">
        <v>704.86</v>
      </c>
      <c r="M500">
        <v>6</v>
      </c>
      <c r="N500">
        <v>4229.16</v>
      </c>
    </row>
    <row r="501" spans="1:14" x14ac:dyDescent="0.3">
      <c r="A501">
        <v>500</v>
      </c>
      <c r="B501" s="37">
        <v>45565</v>
      </c>
      <c r="C501">
        <v>94</v>
      </c>
      <c r="D501" t="s">
        <v>83</v>
      </c>
      <c r="E501" t="s">
        <v>57</v>
      </c>
      <c r="F501">
        <v>69</v>
      </c>
      <c r="G501" t="s">
        <v>49</v>
      </c>
      <c r="H501" t="s">
        <v>50</v>
      </c>
      <c r="I501">
        <v>25</v>
      </c>
      <c r="J501" t="s">
        <v>61</v>
      </c>
      <c r="K501" t="s">
        <v>19</v>
      </c>
      <c r="L501">
        <v>705</v>
      </c>
      <c r="M501">
        <v>1</v>
      </c>
      <c r="N501">
        <v>705</v>
      </c>
    </row>
    <row r="502" spans="1:14" x14ac:dyDescent="0.3">
      <c r="A502">
        <v>311</v>
      </c>
      <c r="B502" s="37">
        <v>45441</v>
      </c>
      <c r="C502">
        <v>72</v>
      </c>
      <c r="D502" t="s">
        <v>35</v>
      </c>
      <c r="E502" t="s">
        <v>36</v>
      </c>
      <c r="F502">
        <v>43</v>
      </c>
      <c r="G502" t="s">
        <v>16</v>
      </c>
      <c r="H502" t="s">
        <v>17</v>
      </c>
      <c r="I502">
        <v>29</v>
      </c>
      <c r="J502" t="s">
        <v>65</v>
      </c>
      <c r="K502" t="s">
        <v>25</v>
      </c>
      <c r="L502">
        <v>1136.55</v>
      </c>
      <c r="M502">
        <v>2</v>
      </c>
      <c r="N502">
        <v>2273.1</v>
      </c>
    </row>
    <row r="503" spans="1:14" x14ac:dyDescent="0.3">
      <c r="A503">
        <v>355</v>
      </c>
      <c r="B503" s="37">
        <v>45665</v>
      </c>
      <c r="C503">
        <v>72</v>
      </c>
      <c r="D503" t="s">
        <v>35</v>
      </c>
      <c r="E503" t="s">
        <v>36</v>
      </c>
      <c r="F503">
        <v>43</v>
      </c>
      <c r="G503" t="s">
        <v>16</v>
      </c>
      <c r="H503" t="s">
        <v>17</v>
      </c>
      <c r="I503">
        <v>22</v>
      </c>
      <c r="J503" t="s">
        <v>85</v>
      </c>
      <c r="K503" t="s">
        <v>19</v>
      </c>
      <c r="L503">
        <v>1377.44</v>
      </c>
      <c r="M503">
        <v>6</v>
      </c>
      <c r="N503">
        <v>8264.64</v>
      </c>
    </row>
    <row r="504" spans="1:14" x14ac:dyDescent="0.3">
      <c r="A504">
        <v>444</v>
      </c>
      <c r="B504" s="37">
        <v>45950</v>
      </c>
      <c r="C504">
        <v>63</v>
      </c>
      <c r="D504" t="s">
        <v>51</v>
      </c>
      <c r="E504" t="s">
        <v>74</v>
      </c>
      <c r="F504">
        <v>36</v>
      </c>
      <c r="G504" t="s">
        <v>22</v>
      </c>
      <c r="H504" t="s">
        <v>23</v>
      </c>
      <c r="I504">
        <v>23</v>
      </c>
      <c r="J504" t="s">
        <v>18</v>
      </c>
      <c r="K504" t="s">
        <v>19</v>
      </c>
      <c r="L504">
        <v>195.22</v>
      </c>
      <c r="M504">
        <v>1</v>
      </c>
      <c r="N504">
        <v>195.22</v>
      </c>
    </row>
    <row r="505" spans="1:14" x14ac:dyDescent="0.3">
      <c r="A505">
        <v>53</v>
      </c>
      <c r="B505" s="37">
        <v>45844</v>
      </c>
      <c r="C505">
        <v>1</v>
      </c>
      <c r="D505" t="s">
        <v>26</v>
      </c>
      <c r="E505" t="s">
        <v>41</v>
      </c>
      <c r="F505">
        <v>35</v>
      </c>
      <c r="G505" t="s">
        <v>59</v>
      </c>
      <c r="H505" t="s">
        <v>33</v>
      </c>
      <c r="I505">
        <v>24</v>
      </c>
      <c r="J505" t="s">
        <v>45</v>
      </c>
      <c r="K505" t="s">
        <v>19</v>
      </c>
      <c r="L505">
        <v>213.01</v>
      </c>
      <c r="M505">
        <v>1</v>
      </c>
      <c r="N505">
        <v>213.01</v>
      </c>
    </row>
    <row r="506" spans="1:14" x14ac:dyDescent="0.3">
      <c r="A506">
        <v>156</v>
      </c>
      <c r="B506" s="37">
        <v>45367</v>
      </c>
      <c r="C506">
        <v>51</v>
      </c>
      <c r="D506" t="s">
        <v>35</v>
      </c>
      <c r="E506" t="s">
        <v>74</v>
      </c>
      <c r="F506">
        <v>69</v>
      </c>
      <c r="G506" t="s">
        <v>52</v>
      </c>
      <c r="H506" t="s">
        <v>91</v>
      </c>
      <c r="I506">
        <v>29</v>
      </c>
      <c r="J506" t="s">
        <v>65</v>
      </c>
      <c r="K506" t="s">
        <v>25</v>
      </c>
      <c r="L506">
        <v>1136.55</v>
      </c>
      <c r="M506">
        <v>5</v>
      </c>
      <c r="N506">
        <v>5682.75</v>
      </c>
    </row>
    <row r="507" spans="1:14" x14ac:dyDescent="0.3">
      <c r="A507">
        <v>250</v>
      </c>
      <c r="B507" s="37">
        <v>45802</v>
      </c>
      <c r="C507">
        <v>45</v>
      </c>
      <c r="D507" t="s">
        <v>75</v>
      </c>
      <c r="E507" t="s">
        <v>60</v>
      </c>
      <c r="F507">
        <v>46</v>
      </c>
      <c r="G507" t="s">
        <v>16</v>
      </c>
      <c r="H507" t="s">
        <v>17</v>
      </c>
      <c r="I507">
        <v>21</v>
      </c>
      <c r="J507" t="s">
        <v>66</v>
      </c>
      <c r="K507" t="s">
        <v>19</v>
      </c>
      <c r="L507">
        <v>842.75</v>
      </c>
      <c r="M507">
        <v>6</v>
      </c>
      <c r="N507">
        <v>5056.5</v>
      </c>
    </row>
    <row r="508" spans="1:14" x14ac:dyDescent="0.3">
      <c r="A508">
        <v>340</v>
      </c>
      <c r="B508" s="37">
        <v>45300</v>
      </c>
      <c r="C508">
        <v>64</v>
      </c>
      <c r="D508" t="s">
        <v>72</v>
      </c>
      <c r="E508" t="s">
        <v>31</v>
      </c>
      <c r="F508">
        <v>36</v>
      </c>
      <c r="G508" t="s">
        <v>52</v>
      </c>
      <c r="H508" t="s">
        <v>53</v>
      </c>
      <c r="I508">
        <v>7</v>
      </c>
      <c r="J508" t="s">
        <v>80</v>
      </c>
      <c r="K508" t="s">
        <v>71</v>
      </c>
      <c r="L508">
        <v>869.87</v>
      </c>
      <c r="M508">
        <v>5</v>
      </c>
      <c r="N508">
        <v>4349.3500000000004</v>
      </c>
    </row>
    <row r="509" spans="1:14" x14ac:dyDescent="0.3">
      <c r="A509">
        <v>161</v>
      </c>
      <c r="B509" s="37">
        <v>45546</v>
      </c>
      <c r="C509">
        <v>31</v>
      </c>
      <c r="D509" t="s">
        <v>30</v>
      </c>
      <c r="E509" t="s">
        <v>60</v>
      </c>
      <c r="F509">
        <v>66</v>
      </c>
      <c r="G509" t="s">
        <v>59</v>
      </c>
      <c r="H509" t="s">
        <v>33</v>
      </c>
      <c r="I509">
        <v>3</v>
      </c>
      <c r="J509" t="s">
        <v>28</v>
      </c>
      <c r="K509" t="s">
        <v>29</v>
      </c>
      <c r="L509">
        <v>922.74</v>
      </c>
      <c r="M509">
        <v>1</v>
      </c>
      <c r="N509">
        <v>922.74</v>
      </c>
    </row>
    <row r="510" spans="1:14" x14ac:dyDescent="0.3">
      <c r="A510">
        <v>17</v>
      </c>
      <c r="B510" s="37">
        <v>45448</v>
      </c>
      <c r="C510">
        <v>56</v>
      </c>
      <c r="D510" t="s">
        <v>88</v>
      </c>
      <c r="E510" t="s">
        <v>31</v>
      </c>
      <c r="F510">
        <v>30</v>
      </c>
      <c r="G510" t="s">
        <v>59</v>
      </c>
      <c r="H510" t="s">
        <v>33</v>
      </c>
      <c r="I510">
        <v>13</v>
      </c>
      <c r="J510" t="s">
        <v>40</v>
      </c>
      <c r="K510" t="s">
        <v>38</v>
      </c>
      <c r="L510">
        <v>1340.6</v>
      </c>
      <c r="M510">
        <v>6</v>
      </c>
      <c r="N510">
        <v>8043.6</v>
      </c>
    </row>
    <row r="511" spans="1:14" x14ac:dyDescent="0.3">
      <c r="A511">
        <v>107</v>
      </c>
      <c r="B511" s="37">
        <v>45902</v>
      </c>
      <c r="C511">
        <v>116</v>
      </c>
      <c r="D511" t="s">
        <v>75</v>
      </c>
      <c r="E511" t="s">
        <v>74</v>
      </c>
      <c r="F511">
        <v>46</v>
      </c>
      <c r="G511" t="s">
        <v>16</v>
      </c>
      <c r="H511" t="s">
        <v>17</v>
      </c>
      <c r="I511">
        <v>19</v>
      </c>
      <c r="J511" t="s">
        <v>84</v>
      </c>
      <c r="K511" t="s">
        <v>43</v>
      </c>
      <c r="L511">
        <v>1048.43</v>
      </c>
      <c r="M511">
        <v>6</v>
      </c>
      <c r="N511">
        <v>6290.58</v>
      </c>
    </row>
    <row r="512" spans="1:14" x14ac:dyDescent="0.3">
      <c r="A512">
        <v>47</v>
      </c>
      <c r="B512" s="37">
        <v>45627</v>
      </c>
      <c r="C512">
        <v>100</v>
      </c>
      <c r="D512" t="s">
        <v>35</v>
      </c>
      <c r="E512" t="s">
        <v>62</v>
      </c>
      <c r="F512">
        <v>60</v>
      </c>
      <c r="G512" t="s">
        <v>49</v>
      </c>
      <c r="H512" t="s">
        <v>50</v>
      </c>
      <c r="I512">
        <v>9</v>
      </c>
      <c r="J512" t="s">
        <v>76</v>
      </c>
      <c r="K512" t="s">
        <v>71</v>
      </c>
      <c r="L512">
        <v>585.21</v>
      </c>
      <c r="M512">
        <v>2</v>
      </c>
      <c r="N512">
        <v>1170.42</v>
      </c>
    </row>
    <row r="513" spans="1:14" x14ac:dyDescent="0.3">
      <c r="A513">
        <v>247</v>
      </c>
      <c r="B513" s="37">
        <v>45522</v>
      </c>
      <c r="C513">
        <v>58</v>
      </c>
      <c r="D513" t="s">
        <v>35</v>
      </c>
      <c r="E513" t="s">
        <v>27</v>
      </c>
      <c r="F513">
        <v>46</v>
      </c>
      <c r="G513" t="s">
        <v>52</v>
      </c>
      <c r="H513" t="s">
        <v>53</v>
      </c>
      <c r="I513">
        <v>7</v>
      </c>
      <c r="J513" t="s">
        <v>80</v>
      </c>
      <c r="K513" t="s">
        <v>71</v>
      </c>
      <c r="L513">
        <v>869.87</v>
      </c>
      <c r="M513">
        <v>1</v>
      </c>
      <c r="N513">
        <v>869.87</v>
      </c>
    </row>
  </sheetData>
  <autoFilter ref="A1:N513" xr:uid="{AF83EAE2-5722-4466-8B80-ECD09DC2551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C665C-682F-41EA-B4D8-0214B4CA94C0}">
  <dimension ref="A1:F17"/>
  <sheetViews>
    <sheetView workbookViewId="0">
      <selection activeCell="B19" sqref="B19"/>
    </sheetView>
  </sheetViews>
  <sheetFormatPr defaultRowHeight="14.4" x14ac:dyDescent="0.3"/>
  <cols>
    <col min="1" max="1" width="4.6640625" customWidth="1"/>
    <col min="2" max="2" width="38.5546875" customWidth="1"/>
    <col min="3" max="3" width="19.44140625" customWidth="1"/>
    <col min="4" max="4" width="41.44140625" bestFit="1" customWidth="1"/>
    <col min="5" max="5" width="7.77734375" customWidth="1"/>
  </cols>
  <sheetData>
    <row r="1" spans="1:6" x14ac:dyDescent="0.3">
      <c r="A1" s="52" t="s">
        <v>253</v>
      </c>
      <c r="B1" s="53" t="s">
        <v>254</v>
      </c>
      <c r="C1" s="53" t="s">
        <v>255</v>
      </c>
      <c r="D1" s="53" t="s">
        <v>256</v>
      </c>
      <c r="E1" s="53" t="s">
        <v>257</v>
      </c>
      <c r="F1" s="53" t="s">
        <v>314</v>
      </c>
    </row>
    <row r="2" spans="1:6" x14ac:dyDescent="0.3">
      <c r="A2" s="51" t="s">
        <v>258</v>
      </c>
      <c r="B2" s="50" t="s">
        <v>259</v>
      </c>
      <c r="C2" s="50" t="s">
        <v>260</v>
      </c>
      <c r="D2" s="50" t="s">
        <v>261</v>
      </c>
      <c r="E2" s="58">
        <v>12</v>
      </c>
      <c r="F2" s="57" t="s">
        <v>312</v>
      </c>
    </row>
    <row r="3" spans="1:6" x14ac:dyDescent="0.3">
      <c r="A3" s="51" t="s">
        <v>262</v>
      </c>
      <c r="B3" s="50" t="s">
        <v>263</v>
      </c>
      <c r="C3" s="50" t="s">
        <v>7</v>
      </c>
      <c r="D3" s="50" t="s">
        <v>264</v>
      </c>
      <c r="E3" s="58">
        <v>14</v>
      </c>
      <c r="F3" s="57" t="s">
        <v>312</v>
      </c>
    </row>
    <row r="4" spans="1:6" x14ac:dyDescent="0.3">
      <c r="A4" s="51" t="s">
        <v>265</v>
      </c>
      <c r="B4" s="50" t="s">
        <v>266</v>
      </c>
      <c r="C4" s="50" t="s">
        <v>7</v>
      </c>
      <c r="D4" s="50" t="s">
        <v>267</v>
      </c>
      <c r="E4" s="58">
        <v>4</v>
      </c>
      <c r="F4" s="57" t="s">
        <v>312</v>
      </c>
    </row>
    <row r="5" spans="1:6" x14ac:dyDescent="0.3">
      <c r="A5" s="51" t="s">
        <v>268</v>
      </c>
      <c r="B5" s="50" t="s">
        <v>269</v>
      </c>
      <c r="C5" s="50" t="s">
        <v>10</v>
      </c>
      <c r="D5" s="50" t="s">
        <v>270</v>
      </c>
      <c r="E5" s="58">
        <v>500</v>
      </c>
      <c r="F5" s="57" t="s">
        <v>312</v>
      </c>
    </row>
    <row r="6" spans="1:6" x14ac:dyDescent="0.3">
      <c r="A6" s="51" t="s">
        <v>271</v>
      </c>
      <c r="B6" s="50" t="s">
        <v>272</v>
      </c>
      <c r="C6" s="50" t="s">
        <v>3</v>
      </c>
      <c r="D6" s="50" t="s">
        <v>273</v>
      </c>
      <c r="E6" s="58">
        <v>15</v>
      </c>
      <c r="F6" s="57" t="s">
        <v>312</v>
      </c>
    </row>
    <row r="7" spans="1:6" x14ac:dyDescent="0.3">
      <c r="A7" s="51" t="s">
        <v>274</v>
      </c>
      <c r="B7" s="50" t="s">
        <v>275</v>
      </c>
      <c r="C7" s="50" t="s">
        <v>11</v>
      </c>
      <c r="D7" s="50" t="s">
        <v>291</v>
      </c>
      <c r="E7" s="58">
        <v>8</v>
      </c>
      <c r="F7" s="57" t="s">
        <v>312</v>
      </c>
    </row>
    <row r="8" spans="1:6" x14ac:dyDescent="0.3">
      <c r="A8" s="51" t="s">
        <v>276</v>
      </c>
      <c r="B8" s="50" t="s">
        <v>277</v>
      </c>
      <c r="C8" s="50" t="s">
        <v>5</v>
      </c>
      <c r="D8" s="50" t="s">
        <v>292</v>
      </c>
      <c r="E8" s="58">
        <v>7</v>
      </c>
      <c r="F8" s="57" t="s">
        <v>312</v>
      </c>
    </row>
    <row r="9" spans="1:6" ht="26.4" x14ac:dyDescent="0.3">
      <c r="A9" s="51" t="s">
        <v>279</v>
      </c>
      <c r="B9" s="49" t="s">
        <v>313</v>
      </c>
      <c r="C9" s="50" t="s">
        <v>5</v>
      </c>
      <c r="D9" s="50" t="s">
        <v>278</v>
      </c>
      <c r="E9" s="58">
        <v>3</v>
      </c>
      <c r="F9" s="57" t="s">
        <v>312</v>
      </c>
    </row>
    <row r="10" spans="1:6" x14ac:dyDescent="0.3">
      <c r="A10" s="51" t="s">
        <v>306</v>
      </c>
      <c r="B10" s="50" t="s">
        <v>281</v>
      </c>
      <c r="C10" s="50" t="s">
        <v>104</v>
      </c>
      <c r="D10" s="50" t="s">
        <v>282</v>
      </c>
      <c r="E10" s="58">
        <v>500</v>
      </c>
      <c r="F10" s="57" t="s">
        <v>312</v>
      </c>
    </row>
    <row r="11" spans="1:6" x14ac:dyDescent="0.3">
      <c r="A11" s="51" t="s">
        <v>280</v>
      </c>
      <c r="B11" s="50" t="s">
        <v>283</v>
      </c>
      <c r="C11" s="50" t="s">
        <v>202</v>
      </c>
      <c r="D11" s="50" t="s">
        <v>284</v>
      </c>
      <c r="E11" s="58">
        <v>500</v>
      </c>
      <c r="F11" s="57" t="s">
        <v>312</v>
      </c>
    </row>
    <row r="12" spans="1:6" x14ac:dyDescent="0.3">
      <c r="A12" s="51" t="s">
        <v>287</v>
      </c>
      <c r="B12" s="50" t="s">
        <v>285</v>
      </c>
      <c r="C12" s="50" t="s">
        <v>286</v>
      </c>
      <c r="D12" s="50" t="s">
        <v>293</v>
      </c>
      <c r="E12" s="58">
        <v>500</v>
      </c>
      <c r="F12" s="57" t="s">
        <v>312</v>
      </c>
    </row>
    <row r="13" spans="1:6" ht="26.4" x14ac:dyDescent="0.3">
      <c r="A13" s="51" t="s">
        <v>288</v>
      </c>
      <c r="B13" s="50" t="s">
        <v>307</v>
      </c>
      <c r="C13" s="50" t="s">
        <v>294</v>
      </c>
      <c r="D13" s="49" t="s">
        <v>311</v>
      </c>
      <c r="E13" s="58">
        <v>500</v>
      </c>
      <c r="F13" s="57" t="s">
        <v>312</v>
      </c>
    </row>
    <row r="14" spans="1:6" x14ac:dyDescent="0.3">
      <c r="A14" s="51" t="s">
        <v>289</v>
      </c>
      <c r="B14" s="54" t="s">
        <v>308</v>
      </c>
      <c r="C14" s="54" t="s">
        <v>218</v>
      </c>
      <c r="D14" s="54" t="s">
        <v>309</v>
      </c>
      <c r="E14" s="59">
        <v>500</v>
      </c>
      <c r="F14" s="57" t="s">
        <v>312</v>
      </c>
    </row>
    <row r="15" spans="1:6" x14ac:dyDescent="0.3">
      <c r="A15" s="51" t="s">
        <v>315</v>
      </c>
      <c r="B15" s="50" t="s">
        <v>295</v>
      </c>
      <c r="C15" s="50" t="s">
        <v>296</v>
      </c>
      <c r="D15" s="50" t="s">
        <v>297</v>
      </c>
      <c r="E15" s="58">
        <v>500</v>
      </c>
      <c r="F15" s="57" t="s">
        <v>312</v>
      </c>
    </row>
    <row r="16" spans="1:6" x14ac:dyDescent="0.3">
      <c r="A16" s="51" t="s">
        <v>290</v>
      </c>
      <c r="B16" s="50" t="s">
        <v>299</v>
      </c>
      <c r="C16" s="50" t="s">
        <v>300</v>
      </c>
      <c r="D16" s="50" t="s">
        <v>302</v>
      </c>
      <c r="E16" s="58">
        <v>11</v>
      </c>
      <c r="F16" s="57" t="s">
        <v>312</v>
      </c>
    </row>
    <row r="17" spans="1:6" x14ac:dyDescent="0.3">
      <c r="A17" s="51" t="s">
        <v>298</v>
      </c>
      <c r="B17" s="50" t="s">
        <v>295</v>
      </c>
      <c r="C17" s="50" t="s">
        <v>301</v>
      </c>
      <c r="D17" s="50" t="s">
        <v>303</v>
      </c>
      <c r="E17" s="58">
        <v>500</v>
      </c>
      <c r="F17" s="57" t="s">
        <v>312</v>
      </c>
    </row>
  </sheetData>
  <phoneticPr fontId="1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E3277-3220-406B-925B-8703CEF6B60A}">
  <dimension ref="A1:AC523"/>
  <sheetViews>
    <sheetView topLeftCell="P1" zoomScaleNormal="100" workbookViewId="0">
      <pane ySplit="1" topLeftCell="A2" activePane="bottomLeft" state="frozen"/>
      <selection pane="bottomLeft" activeCell="T15" sqref="T15"/>
    </sheetView>
  </sheetViews>
  <sheetFormatPr defaultRowHeight="14.4" x14ac:dyDescent="0.3"/>
  <cols>
    <col min="1" max="1" width="12" style="6" bestFit="1" customWidth="1"/>
    <col min="2" max="2" width="20.33203125" style="37" bestFit="1" customWidth="1"/>
    <col min="3" max="3" width="14.109375" style="2" customWidth="1"/>
    <col min="4" max="4" width="14.109375" style="6" customWidth="1"/>
    <col min="5" max="5" width="16.44140625" style="6" bestFit="1" customWidth="1"/>
    <col min="6" max="6" width="17.44140625" bestFit="1" customWidth="1"/>
    <col min="7" max="7" width="18.88671875" style="6" customWidth="1"/>
    <col min="8" max="8" width="12.109375" bestFit="1" customWidth="1"/>
    <col min="9" max="9" width="14.21875" bestFit="1" customWidth="1"/>
    <col min="10" max="10" width="13.88671875" bestFit="1" customWidth="1"/>
    <col min="11" max="11" width="18.6640625" customWidth="1"/>
    <col min="12" max="12" width="15.109375" bestFit="1" customWidth="1"/>
    <col min="13" max="13" width="10.88671875" style="8" bestFit="1" customWidth="1"/>
    <col min="14" max="14" width="12.77734375" style="6" bestFit="1" customWidth="1"/>
    <col min="15" max="15" width="14.109375" style="8" bestFit="1" customWidth="1"/>
    <col min="16" max="16" width="20.6640625" bestFit="1" customWidth="1"/>
    <col min="19" max="19" width="16.5546875" bestFit="1" customWidth="1"/>
    <col min="21" max="21" width="14" bestFit="1" customWidth="1"/>
    <col min="22" max="22" width="16.5546875" bestFit="1" customWidth="1"/>
    <col min="23" max="23" width="14" bestFit="1" customWidth="1"/>
    <col min="24" max="24" width="16.5546875" bestFit="1" customWidth="1"/>
    <col min="25" max="25" width="18.109375" customWidth="1"/>
    <col min="26" max="26" width="17.6640625" bestFit="1" customWidth="1"/>
    <col min="27" max="27" width="17.88671875" bestFit="1" customWidth="1"/>
    <col min="28" max="28" width="14.21875" bestFit="1" customWidth="1"/>
    <col min="29" max="29" width="19.44140625" bestFit="1" customWidth="1"/>
  </cols>
  <sheetData>
    <row r="1" spans="1:26" x14ac:dyDescent="0.3">
      <c r="A1" s="9" t="s">
        <v>0</v>
      </c>
      <c r="B1" s="36" t="s">
        <v>1</v>
      </c>
      <c r="C1" s="26" t="s">
        <v>202</v>
      </c>
      <c r="D1" s="5" t="s">
        <v>216</v>
      </c>
      <c r="E1" s="9" t="s">
        <v>2</v>
      </c>
      <c r="F1" s="3" t="s">
        <v>104</v>
      </c>
      <c r="G1" s="5" t="s">
        <v>5</v>
      </c>
      <c r="H1" s="1" t="s">
        <v>6</v>
      </c>
      <c r="I1" s="3" t="s">
        <v>7</v>
      </c>
      <c r="J1" s="1" t="s">
        <v>8</v>
      </c>
      <c r="K1" s="1" t="s">
        <v>9</v>
      </c>
      <c r="L1" s="1" t="s">
        <v>10</v>
      </c>
      <c r="M1" s="7" t="s">
        <v>11</v>
      </c>
      <c r="N1" s="9" t="s">
        <v>12</v>
      </c>
      <c r="O1" s="10" t="s">
        <v>193</v>
      </c>
      <c r="P1" s="10" t="s">
        <v>218</v>
      </c>
    </row>
    <row r="2" spans="1:26" x14ac:dyDescent="0.3">
      <c r="A2" s="6">
        <v>1</v>
      </c>
      <c r="B2" s="37">
        <v>45808</v>
      </c>
      <c r="C2" s="2" t="str">
        <f t="shared" ref="C2:C65" si="0">TEXT(B2,"mmm")</f>
        <v>May</v>
      </c>
      <c r="D2" s="6">
        <f t="shared" ref="D2:D65" si="1">YEAR(B2)</f>
        <v>2025</v>
      </c>
      <c r="E2" s="6">
        <v>96</v>
      </c>
      <c r="F2" s="4" t="s">
        <v>105</v>
      </c>
      <c r="G2" s="6">
        <v>69</v>
      </c>
      <c r="H2" t="s">
        <v>16</v>
      </c>
      <c r="I2" t="s">
        <v>17</v>
      </c>
      <c r="J2">
        <v>23</v>
      </c>
      <c r="K2" t="s">
        <v>18</v>
      </c>
      <c r="L2" t="s">
        <v>19</v>
      </c>
      <c r="M2" s="8">
        <v>195.22</v>
      </c>
      <c r="N2" s="6">
        <v>4</v>
      </c>
      <c r="O2" s="8">
        <f t="shared" ref="O2:O65" si="2">M2*N2</f>
        <v>780.88</v>
      </c>
      <c r="P2" t="s">
        <v>222</v>
      </c>
    </row>
    <row r="3" spans="1:26" x14ac:dyDescent="0.3">
      <c r="A3" s="6">
        <v>2</v>
      </c>
      <c r="B3" s="37">
        <v>45853</v>
      </c>
      <c r="C3" s="2" t="str">
        <f t="shared" si="0"/>
        <v>Jul</v>
      </c>
      <c r="D3" s="6">
        <f t="shared" si="1"/>
        <v>2025</v>
      </c>
      <c r="E3" s="6">
        <v>42</v>
      </c>
      <c r="F3" s="4" t="s">
        <v>106</v>
      </c>
      <c r="G3" s="6">
        <v>45</v>
      </c>
      <c r="H3" t="s">
        <v>22</v>
      </c>
      <c r="I3" t="s">
        <v>23</v>
      </c>
      <c r="J3">
        <v>27</v>
      </c>
      <c r="K3" t="s">
        <v>24</v>
      </c>
      <c r="L3" t="s">
        <v>25</v>
      </c>
      <c r="M3" s="8">
        <v>845</v>
      </c>
      <c r="N3" s="6">
        <v>4</v>
      </c>
      <c r="O3" s="8">
        <f t="shared" si="2"/>
        <v>3380</v>
      </c>
      <c r="P3" t="s">
        <v>221</v>
      </c>
    </row>
    <row r="4" spans="1:26" x14ac:dyDescent="0.3">
      <c r="A4" s="6">
        <v>3</v>
      </c>
      <c r="B4" s="37">
        <v>45454</v>
      </c>
      <c r="C4" s="2" t="str">
        <f t="shared" si="0"/>
        <v>Jun</v>
      </c>
      <c r="D4" s="6">
        <f t="shared" si="1"/>
        <v>2024</v>
      </c>
      <c r="E4" s="6">
        <v>104</v>
      </c>
      <c r="F4" s="4" t="s">
        <v>107</v>
      </c>
      <c r="G4" s="6">
        <v>56</v>
      </c>
      <c r="H4" t="s">
        <v>22</v>
      </c>
      <c r="I4" t="s">
        <v>23</v>
      </c>
      <c r="J4">
        <v>3</v>
      </c>
      <c r="K4" t="s">
        <v>28</v>
      </c>
      <c r="L4" t="s">
        <v>29</v>
      </c>
      <c r="M4" s="8">
        <v>922.74</v>
      </c>
      <c r="N4" s="6">
        <v>6</v>
      </c>
      <c r="O4" s="8">
        <f t="shared" si="2"/>
        <v>5536.4400000000005</v>
      </c>
      <c r="P4" t="s">
        <v>220</v>
      </c>
    </row>
    <row r="5" spans="1:26" x14ac:dyDescent="0.3">
      <c r="A5" s="6">
        <v>4</v>
      </c>
      <c r="B5" s="37">
        <v>45778</v>
      </c>
      <c r="C5" s="2" t="str">
        <f t="shared" si="0"/>
        <v>May</v>
      </c>
      <c r="D5" s="6">
        <f t="shared" si="1"/>
        <v>2025</v>
      </c>
      <c r="E5" s="6">
        <v>14</v>
      </c>
      <c r="F5" s="4" t="s">
        <v>108</v>
      </c>
      <c r="G5" s="6">
        <v>67</v>
      </c>
      <c r="H5" t="s">
        <v>32</v>
      </c>
      <c r="I5" t="s">
        <v>33</v>
      </c>
      <c r="J5">
        <v>2</v>
      </c>
      <c r="K5" t="s">
        <v>34</v>
      </c>
      <c r="L5" t="s">
        <v>29</v>
      </c>
      <c r="M5" s="8">
        <v>1476.14</v>
      </c>
      <c r="N5" s="6">
        <v>4</v>
      </c>
      <c r="O5" s="8">
        <f t="shared" si="2"/>
        <v>5904.56</v>
      </c>
      <c r="P5" t="s">
        <v>219</v>
      </c>
    </row>
    <row r="6" spans="1:26" x14ac:dyDescent="0.3">
      <c r="A6" s="6">
        <v>5</v>
      </c>
      <c r="B6" s="37">
        <v>45557</v>
      </c>
      <c r="C6" s="2" t="str">
        <f t="shared" si="0"/>
        <v>Sept</v>
      </c>
      <c r="D6" s="6">
        <f t="shared" si="1"/>
        <v>2024</v>
      </c>
      <c r="E6" s="6">
        <v>72</v>
      </c>
      <c r="F6" s="4" t="s">
        <v>109</v>
      </c>
      <c r="G6" s="6">
        <v>43</v>
      </c>
      <c r="H6" t="s">
        <v>16</v>
      </c>
      <c r="I6" t="s">
        <v>17</v>
      </c>
      <c r="J6">
        <v>12</v>
      </c>
      <c r="K6" t="s">
        <v>37</v>
      </c>
      <c r="L6" t="s">
        <v>38</v>
      </c>
      <c r="M6" s="8">
        <v>1036.1199999999999</v>
      </c>
      <c r="N6" s="6">
        <v>2</v>
      </c>
      <c r="O6" s="8">
        <f t="shared" si="2"/>
        <v>2072.2399999999998</v>
      </c>
      <c r="P6" t="s">
        <v>222</v>
      </c>
      <c r="S6" s="47" t="s">
        <v>252</v>
      </c>
      <c r="T6" s="48"/>
      <c r="U6" s="48"/>
      <c r="V6" s="48"/>
      <c r="W6" s="48"/>
      <c r="X6" s="48"/>
      <c r="Y6" s="48"/>
      <c r="Z6" s="48"/>
    </row>
    <row r="7" spans="1:26" x14ac:dyDescent="0.3">
      <c r="A7" s="6">
        <v>6</v>
      </c>
      <c r="B7" s="37">
        <v>45944</v>
      </c>
      <c r="C7" s="2" t="str">
        <f t="shared" si="0"/>
        <v>Oct</v>
      </c>
      <c r="D7" s="6">
        <f t="shared" si="1"/>
        <v>2025</v>
      </c>
      <c r="E7" s="6">
        <v>119</v>
      </c>
      <c r="F7" s="4" t="s">
        <v>110</v>
      </c>
      <c r="G7" s="6">
        <v>61</v>
      </c>
      <c r="H7" t="s">
        <v>16</v>
      </c>
      <c r="I7" t="s">
        <v>17</v>
      </c>
      <c r="J7">
        <v>13</v>
      </c>
      <c r="K7" t="s">
        <v>40</v>
      </c>
      <c r="L7" t="s">
        <v>38</v>
      </c>
      <c r="M7" s="8">
        <v>1340.6</v>
      </c>
      <c r="N7" s="6">
        <v>3</v>
      </c>
      <c r="O7" s="8">
        <f t="shared" si="2"/>
        <v>4021.7999999999997</v>
      </c>
      <c r="P7" t="s">
        <v>220</v>
      </c>
      <c r="S7" s="45" t="s">
        <v>237</v>
      </c>
      <c r="T7" s="45" t="s">
        <v>249</v>
      </c>
      <c r="U7" s="45" t="s">
        <v>11</v>
      </c>
      <c r="V7" s="45" t="s">
        <v>310</v>
      </c>
      <c r="W7" s="45" t="s">
        <v>12</v>
      </c>
      <c r="X7" s="45" t="s">
        <v>250</v>
      </c>
      <c r="Y7" s="45" t="s">
        <v>193</v>
      </c>
      <c r="Z7" s="45" t="s">
        <v>251</v>
      </c>
    </row>
    <row r="8" spans="1:26" x14ac:dyDescent="0.3">
      <c r="A8" s="6">
        <v>7</v>
      </c>
      <c r="B8" s="37">
        <v>45825</v>
      </c>
      <c r="C8" s="2" t="str">
        <f t="shared" si="0"/>
        <v>Jun</v>
      </c>
      <c r="D8" s="6">
        <f t="shared" si="1"/>
        <v>2025</v>
      </c>
      <c r="E8" s="6">
        <v>113</v>
      </c>
      <c r="F8" s="4" t="s">
        <v>111</v>
      </c>
      <c r="G8" s="6">
        <v>29</v>
      </c>
      <c r="H8" t="s">
        <v>32</v>
      </c>
      <c r="I8" t="s">
        <v>33</v>
      </c>
      <c r="J8">
        <v>17</v>
      </c>
      <c r="K8" t="s">
        <v>42</v>
      </c>
      <c r="L8" t="s">
        <v>43</v>
      </c>
      <c r="M8" s="8">
        <v>339.98</v>
      </c>
      <c r="N8" s="6">
        <v>4</v>
      </c>
      <c r="O8" s="8">
        <f t="shared" si="2"/>
        <v>1359.92</v>
      </c>
      <c r="P8" t="s">
        <v>219</v>
      </c>
      <c r="S8" t="s">
        <v>229</v>
      </c>
      <c r="T8">
        <v>43.655999999999999</v>
      </c>
      <c r="U8" t="s">
        <v>229</v>
      </c>
      <c r="V8">
        <v>859.08009999999877</v>
      </c>
      <c r="W8" t="s">
        <v>229</v>
      </c>
      <c r="X8">
        <v>3.5259999999999998</v>
      </c>
      <c r="Y8" t="s">
        <v>229</v>
      </c>
      <c r="Z8">
        <v>3037.7435199999964</v>
      </c>
    </row>
    <row r="9" spans="1:26" x14ac:dyDescent="0.3">
      <c r="A9" s="6">
        <v>8</v>
      </c>
      <c r="B9" s="37">
        <v>45933</v>
      </c>
      <c r="C9" s="2" t="str">
        <f t="shared" si="0"/>
        <v>Oct</v>
      </c>
      <c r="D9" s="6">
        <f t="shared" si="1"/>
        <v>2025</v>
      </c>
      <c r="E9" s="6">
        <v>102</v>
      </c>
      <c r="F9" s="4" t="s">
        <v>112</v>
      </c>
      <c r="G9" s="6">
        <v>50</v>
      </c>
      <c r="H9" t="s">
        <v>22</v>
      </c>
      <c r="I9" t="s">
        <v>23</v>
      </c>
      <c r="J9">
        <v>24</v>
      </c>
      <c r="K9" t="s">
        <v>45</v>
      </c>
      <c r="L9" t="s">
        <v>19</v>
      </c>
      <c r="M9" s="8">
        <v>213.01</v>
      </c>
      <c r="N9" s="6">
        <v>2</v>
      </c>
      <c r="O9" s="8">
        <f t="shared" si="2"/>
        <v>426.02</v>
      </c>
      <c r="P9" t="s">
        <v>219</v>
      </c>
      <c r="S9" t="s">
        <v>230</v>
      </c>
      <c r="T9">
        <v>45</v>
      </c>
      <c r="U9" t="s">
        <v>230</v>
      </c>
      <c r="V9">
        <v>845</v>
      </c>
      <c r="W9" t="s">
        <v>230</v>
      </c>
      <c r="X9">
        <v>4</v>
      </c>
      <c r="Y9" t="s">
        <v>230</v>
      </c>
      <c r="Z9">
        <v>2671.51</v>
      </c>
    </row>
    <row r="10" spans="1:26" x14ac:dyDescent="0.3">
      <c r="A10" s="6">
        <v>9</v>
      </c>
      <c r="B10" s="37">
        <v>45573</v>
      </c>
      <c r="C10" s="2" t="str">
        <f t="shared" si="0"/>
        <v>Oct</v>
      </c>
      <c r="D10" s="6">
        <f t="shared" si="1"/>
        <v>2024</v>
      </c>
      <c r="E10" s="6">
        <v>105</v>
      </c>
      <c r="F10" s="4" t="s">
        <v>113</v>
      </c>
      <c r="G10" s="6">
        <v>45</v>
      </c>
      <c r="H10" t="s">
        <v>16</v>
      </c>
      <c r="I10" t="s">
        <v>17</v>
      </c>
      <c r="J10">
        <v>4</v>
      </c>
      <c r="K10" t="s">
        <v>48</v>
      </c>
      <c r="L10" t="s">
        <v>29</v>
      </c>
      <c r="M10" s="8">
        <v>1156.21</v>
      </c>
      <c r="N10" s="6">
        <v>4</v>
      </c>
      <c r="O10" s="8">
        <f t="shared" si="2"/>
        <v>4624.84</v>
      </c>
      <c r="P10" t="s">
        <v>221</v>
      </c>
      <c r="S10" t="s">
        <v>231</v>
      </c>
      <c r="T10">
        <v>15.358000000000001</v>
      </c>
      <c r="U10" t="s">
        <v>231</v>
      </c>
      <c r="V10">
        <v>394.77850613477301</v>
      </c>
      <c r="W10" t="s">
        <v>231</v>
      </c>
      <c r="X10">
        <v>1.6920549932553615</v>
      </c>
      <c r="Y10" t="s">
        <v>231</v>
      </c>
      <c r="Z10">
        <v>2128.180804262382</v>
      </c>
    </row>
    <row r="11" spans="1:26" x14ac:dyDescent="0.3">
      <c r="A11" s="6">
        <v>10</v>
      </c>
      <c r="B11" s="37">
        <v>45371</v>
      </c>
      <c r="C11" s="2" t="str">
        <f t="shared" si="0"/>
        <v>Mar</v>
      </c>
      <c r="D11" s="6">
        <f t="shared" si="1"/>
        <v>2024</v>
      </c>
      <c r="E11" s="6">
        <v>46</v>
      </c>
      <c r="F11" s="4" t="s">
        <v>114</v>
      </c>
      <c r="G11" s="6">
        <v>39</v>
      </c>
      <c r="H11" t="s">
        <v>49</v>
      </c>
      <c r="I11" t="s">
        <v>50</v>
      </c>
      <c r="J11">
        <v>12</v>
      </c>
      <c r="K11" t="s">
        <v>37</v>
      </c>
      <c r="L11" t="s">
        <v>38</v>
      </c>
      <c r="M11" s="8">
        <v>1036.1199999999999</v>
      </c>
      <c r="N11" s="6">
        <v>6</v>
      </c>
      <c r="O11" s="8">
        <f t="shared" si="2"/>
        <v>6216.7199999999993</v>
      </c>
      <c r="P11" t="s">
        <v>221</v>
      </c>
      <c r="S11" t="s">
        <v>232</v>
      </c>
      <c r="T11">
        <v>3.5499999999999997E-2</v>
      </c>
      <c r="U11" t="s">
        <v>232</v>
      </c>
      <c r="V11">
        <v>-0.33169172945507747</v>
      </c>
      <c r="W11" t="s">
        <v>232</v>
      </c>
      <c r="X11">
        <v>-3.9952742185811303E-2</v>
      </c>
      <c r="Y11" t="s">
        <v>232</v>
      </c>
      <c r="Z11">
        <v>0.64986442691474833</v>
      </c>
    </row>
    <row r="12" spans="1:26" x14ac:dyDescent="0.3">
      <c r="A12" s="6">
        <v>11</v>
      </c>
      <c r="B12" s="37">
        <v>45584</v>
      </c>
      <c r="C12" s="2" t="str">
        <f t="shared" si="0"/>
        <v>Oct</v>
      </c>
      <c r="D12" s="6">
        <f t="shared" si="1"/>
        <v>2024</v>
      </c>
      <c r="E12" s="6">
        <v>95</v>
      </c>
      <c r="F12" s="4" t="s">
        <v>115</v>
      </c>
      <c r="G12" s="6">
        <v>19</v>
      </c>
      <c r="H12" t="s">
        <v>52</v>
      </c>
      <c r="I12" t="s">
        <v>53</v>
      </c>
      <c r="J12">
        <v>26</v>
      </c>
      <c r="K12" t="s">
        <v>54</v>
      </c>
      <c r="L12" t="s">
        <v>25</v>
      </c>
      <c r="M12" s="8">
        <v>803.73</v>
      </c>
      <c r="N12" s="6">
        <v>2</v>
      </c>
      <c r="O12" s="8">
        <f t="shared" si="2"/>
        <v>1607.46</v>
      </c>
      <c r="P12" t="s">
        <v>221</v>
      </c>
      <c r="S12" t="s">
        <v>233</v>
      </c>
      <c r="T12">
        <v>18</v>
      </c>
      <c r="U12" t="s">
        <v>233</v>
      </c>
      <c r="V12">
        <v>83.63</v>
      </c>
      <c r="W12" t="s">
        <v>233</v>
      </c>
      <c r="X12">
        <v>1</v>
      </c>
      <c r="Y12" t="s">
        <v>233</v>
      </c>
      <c r="Z12">
        <v>83.63</v>
      </c>
    </row>
    <row r="13" spans="1:26" x14ac:dyDescent="0.3">
      <c r="A13" s="6">
        <v>12</v>
      </c>
      <c r="B13" s="37">
        <v>45570</v>
      </c>
      <c r="C13" s="2" t="str">
        <f t="shared" si="0"/>
        <v>Oct</v>
      </c>
      <c r="D13" s="6">
        <f t="shared" si="1"/>
        <v>2024</v>
      </c>
      <c r="E13" s="6">
        <v>32</v>
      </c>
      <c r="F13" s="4" t="s">
        <v>116</v>
      </c>
      <c r="G13" s="6">
        <v>45</v>
      </c>
      <c r="H13" t="s">
        <v>16</v>
      </c>
      <c r="I13" t="s">
        <v>17</v>
      </c>
      <c r="J13">
        <v>26</v>
      </c>
      <c r="K13" t="s">
        <v>54</v>
      </c>
      <c r="L13" t="s">
        <v>25</v>
      </c>
      <c r="M13" s="8">
        <v>803.73</v>
      </c>
      <c r="N13" s="6">
        <v>3</v>
      </c>
      <c r="O13" s="8">
        <f t="shared" si="2"/>
        <v>2411.19</v>
      </c>
      <c r="P13" t="s">
        <v>221</v>
      </c>
      <c r="S13" t="s">
        <v>234</v>
      </c>
      <c r="T13">
        <v>69</v>
      </c>
      <c r="U13" t="s">
        <v>234</v>
      </c>
      <c r="V13">
        <v>1476.14</v>
      </c>
      <c r="W13" t="s">
        <v>234</v>
      </c>
      <c r="X13">
        <v>6</v>
      </c>
      <c r="Y13" t="s">
        <v>234</v>
      </c>
      <c r="Z13">
        <v>8264.64</v>
      </c>
    </row>
    <row r="14" spans="1:26" x14ac:dyDescent="0.3">
      <c r="A14" s="6">
        <v>13</v>
      </c>
      <c r="B14" s="37">
        <v>45619</v>
      </c>
      <c r="C14" s="2" t="str">
        <f t="shared" si="0"/>
        <v>Nov</v>
      </c>
      <c r="D14" s="6">
        <f t="shared" si="1"/>
        <v>2024</v>
      </c>
      <c r="E14" s="6">
        <v>54</v>
      </c>
      <c r="F14" s="4" t="s">
        <v>117</v>
      </c>
      <c r="G14" s="6">
        <v>59</v>
      </c>
      <c r="H14" t="s">
        <v>32</v>
      </c>
      <c r="I14" t="s">
        <v>33</v>
      </c>
      <c r="J14">
        <v>11</v>
      </c>
      <c r="K14" t="s">
        <v>55</v>
      </c>
      <c r="L14" t="s">
        <v>38</v>
      </c>
      <c r="M14" s="8">
        <v>234.14</v>
      </c>
      <c r="N14" s="6">
        <v>5</v>
      </c>
      <c r="O14" s="8">
        <f t="shared" si="2"/>
        <v>1170.6999999999998</v>
      </c>
      <c r="P14" t="s">
        <v>220</v>
      </c>
      <c r="S14" t="s">
        <v>235</v>
      </c>
      <c r="T14" s="61">
        <v>21828</v>
      </c>
      <c r="U14" t="s">
        <v>235</v>
      </c>
      <c r="V14">
        <v>429540.04999999941</v>
      </c>
      <c r="W14" t="s">
        <v>235</v>
      </c>
      <c r="X14">
        <v>1763</v>
      </c>
      <c r="Y14" t="s">
        <v>235</v>
      </c>
      <c r="Z14">
        <v>1518871.7599999981</v>
      </c>
    </row>
    <row r="15" spans="1:26" x14ac:dyDescent="0.3">
      <c r="A15" s="6">
        <v>14</v>
      </c>
      <c r="B15" s="37">
        <v>45374</v>
      </c>
      <c r="C15" s="2" t="str">
        <f t="shared" si="0"/>
        <v>Mar</v>
      </c>
      <c r="D15" s="6">
        <f t="shared" si="1"/>
        <v>2024</v>
      </c>
      <c r="E15" s="6">
        <v>8</v>
      </c>
      <c r="F15" s="4" t="s">
        <v>118</v>
      </c>
      <c r="G15" s="6">
        <v>31</v>
      </c>
      <c r="H15" t="s">
        <v>16</v>
      </c>
      <c r="I15" t="s">
        <v>17</v>
      </c>
      <c r="J15">
        <v>20</v>
      </c>
      <c r="K15" t="s">
        <v>58</v>
      </c>
      <c r="L15" t="s">
        <v>43</v>
      </c>
      <c r="M15" s="8">
        <v>704.86</v>
      </c>
      <c r="N15" s="6">
        <v>2</v>
      </c>
      <c r="O15" s="8">
        <f t="shared" si="2"/>
        <v>1409.72</v>
      </c>
      <c r="P15" t="s">
        <v>219</v>
      </c>
      <c r="S15" t="s">
        <v>236</v>
      </c>
      <c r="T15">
        <v>500</v>
      </c>
      <c r="U15" t="s">
        <v>236</v>
      </c>
      <c r="V15">
        <v>500</v>
      </c>
      <c r="W15" t="s">
        <v>236</v>
      </c>
      <c r="X15">
        <v>500</v>
      </c>
      <c r="Y15" t="s">
        <v>236</v>
      </c>
      <c r="Z15">
        <v>500</v>
      </c>
    </row>
    <row r="16" spans="1:26" x14ac:dyDescent="0.3">
      <c r="A16" s="6">
        <v>15</v>
      </c>
      <c r="B16" s="37">
        <v>45446</v>
      </c>
      <c r="C16" s="2" t="str">
        <f t="shared" si="0"/>
        <v>Jun</v>
      </c>
      <c r="D16" s="6">
        <f t="shared" si="1"/>
        <v>2024</v>
      </c>
      <c r="E16" s="6">
        <v>103</v>
      </c>
      <c r="F16" s="4" t="s">
        <v>107</v>
      </c>
      <c r="G16" s="6">
        <v>34</v>
      </c>
      <c r="H16" t="s">
        <v>16</v>
      </c>
      <c r="I16" t="s">
        <v>17</v>
      </c>
      <c r="J16">
        <v>27</v>
      </c>
      <c r="K16" t="s">
        <v>24</v>
      </c>
      <c r="L16" t="s">
        <v>25</v>
      </c>
      <c r="M16" s="8">
        <v>845</v>
      </c>
      <c r="N16" s="6">
        <v>2</v>
      </c>
      <c r="O16" s="8">
        <f t="shared" si="2"/>
        <v>1690</v>
      </c>
      <c r="P16" t="s">
        <v>221</v>
      </c>
    </row>
    <row r="17" spans="1:29" x14ac:dyDescent="0.3">
      <c r="A17" s="6">
        <v>16</v>
      </c>
      <c r="B17" s="37">
        <v>45684</v>
      </c>
      <c r="C17" s="2" t="str">
        <f t="shared" si="0"/>
        <v>Jan</v>
      </c>
      <c r="D17" s="6">
        <f t="shared" si="1"/>
        <v>2025</v>
      </c>
      <c r="E17" s="6">
        <v>95</v>
      </c>
      <c r="F17" s="4" t="s">
        <v>115</v>
      </c>
      <c r="G17" s="6">
        <v>19</v>
      </c>
      <c r="H17" t="s">
        <v>52</v>
      </c>
      <c r="I17" t="s">
        <v>53</v>
      </c>
      <c r="J17">
        <v>23</v>
      </c>
      <c r="K17" t="s">
        <v>18</v>
      </c>
      <c r="L17" t="s">
        <v>19</v>
      </c>
      <c r="M17" s="8">
        <v>195.22</v>
      </c>
      <c r="N17" s="6">
        <v>6</v>
      </c>
      <c r="O17" s="8">
        <f t="shared" si="2"/>
        <v>1171.32</v>
      </c>
      <c r="P17" t="s">
        <v>222</v>
      </c>
    </row>
    <row r="18" spans="1:29" x14ac:dyDescent="0.3">
      <c r="A18" s="6">
        <v>17</v>
      </c>
      <c r="B18" s="37">
        <v>45448</v>
      </c>
      <c r="C18" s="2" t="str">
        <f t="shared" si="0"/>
        <v>Jun</v>
      </c>
      <c r="D18" s="6">
        <f t="shared" si="1"/>
        <v>2024</v>
      </c>
      <c r="E18" s="6">
        <v>56</v>
      </c>
      <c r="F18" s="4" t="s">
        <v>129</v>
      </c>
      <c r="G18" s="6">
        <v>30</v>
      </c>
      <c r="H18" t="s">
        <v>59</v>
      </c>
      <c r="I18" t="s">
        <v>33</v>
      </c>
      <c r="J18">
        <v>13</v>
      </c>
      <c r="K18" t="s">
        <v>40</v>
      </c>
      <c r="L18" t="s">
        <v>38</v>
      </c>
      <c r="M18" s="8">
        <v>1340.6</v>
      </c>
      <c r="N18" s="6">
        <v>6</v>
      </c>
      <c r="O18" s="8">
        <f t="shared" si="2"/>
        <v>8043.5999999999995</v>
      </c>
      <c r="P18" t="s">
        <v>222</v>
      </c>
      <c r="S18" s="46" t="s">
        <v>238</v>
      </c>
      <c r="T18" s="46"/>
      <c r="U18" s="46"/>
      <c r="V18" s="46"/>
      <c r="W18" s="46"/>
      <c r="Y18" s="7" t="s">
        <v>246</v>
      </c>
      <c r="Z18" s="56" t="s">
        <v>304</v>
      </c>
      <c r="AA18" s="7" t="s">
        <v>197</v>
      </c>
      <c r="AB18" s="7" t="s">
        <v>198</v>
      </c>
      <c r="AC18" s="56" t="s">
        <v>305</v>
      </c>
    </row>
    <row r="19" spans="1:29" x14ac:dyDescent="0.3">
      <c r="A19" s="6">
        <v>18</v>
      </c>
      <c r="B19" s="37">
        <v>45511</v>
      </c>
      <c r="C19" s="2" t="str">
        <f t="shared" si="0"/>
        <v>Aug</v>
      </c>
      <c r="D19" s="6">
        <f t="shared" si="1"/>
        <v>2024</v>
      </c>
      <c r="E19" s="6">
        <v>75</v>
      </c>
      <c r="F19" s="4" t="s">
        <v>119</v>
      </c>
      <c r="G19" s="6">
        <v>31</v>
      </c>
      <c r="H19" t="s">
        <v>59</v>
      </c>
      <c r="I19" t="s">
        <v>33</v>
      </c>
      <c r="J19">
        <v>25</v>
      </c>
      <c r="K19" t="s">
        <v>61</v>
      </c>
      <c r="L19" t="s">
        <v>19</v>
      </c>
      <c r="M19" s="8">
        <v>705</v>
      </c>
      <c r="N19" s="6">
        <v>1</v>
      </c>
      <c r="O19" s="8">
        <f t="shared" si="2"/>
        <v>705</v>
      </c>
      <c r="P19" t="s">
        <v>220</v>
      </c>
      <c r="S19" s="45" t="s">
        <v>245</v>
      </c>
      <c r="T19" s="45" t="s">
        <v>5</v>
      </c>
      <c r="U19" s="45" t="s">
        <v>11</v>
      </c>
      <c r="V19" s="45" t="s">
        <v>12</v>
      </c>
      <c r="W19" s="45" t="s">
        <v>193</v>
      </c>
      <c r="Y19" t="s">
        <v>228</v>
      </c>
      <c r="Z19" s="22">
        <f>SUM(O2:O501)</f>
        <v>1518871.7599999981</v>
      </c>
      <c r="AA19" s="22">
        <f>SUMIF(D2:D501, 2024,O2:O501)</f>
        <v>695223.10999999975</v>
      </c>
      <c r="AB19" s="22">
        <f>SUMIF(D2:D501, 2025,O2:O501)</f>
        <v>823648.65000000014</v>
      </c>
      <c r="AC19" s="55">
        <f>Analysis!H77</f>
        <v>0.18472564872016473</v>
      </c>
    </row>
    <row r="20" spans="1:29" x14ac:dyDescent="0.3">
      <c r="A20" s="6">
        <v>19</v>
      </c>
      <c r="B20" s="37">
        <v>45716</v>
      </c>
      <c r="C20" s="2" t="str">
        <f t="shared" si="0"/>
        <v>Feb</v>
      </c>
      <c r="D20" s="6">
        <f t="shared" si="1"/>
        <v>2025</v>
      </c>
      <c r="E20" s="6">
        <v>91</v>
      </c>
      <c r="F20" s="4" t="s">
        <v>120</v>
      </c>
      <c r="G20" s="6">
        <v>40</v>
      </c>
      <c r="H20" t="s">
        <v>16</v>
      </c>
      <c r="I20" t="s">
        <v>17</v>
      </c>
      <c r="J20">
        <v>13</v>
      </c>
      <c r="K20" t="s">
        <v>40</v>
      </c>
      <c r="L20" t="s">
        <v>38</v>
      </c>
      <c r="M20" s="8">
        <v>1340.6</v>
      </c>
      <c r="N20" s="6">
        <v>4</v>
      </c>
      <c r="O20" s="8">
        <f t="shared" si="2"/>
        <v>5362.4</v>
      </c>
      <c r="P20" t="s">
        <v>221</v>
      </c>
      <c r="S20" t="s">
        <v>239</v>
      </c>
      <c r="T20">
        <f>_xlfn.QUARTILE.INC($G$2:G501,1)</f>
        <v>30</v>
      </c>
      <c r="U20">
        <f>_xlfn.QUARTILE.INC($M$2:M501,1)</f>
        <v>608.48</v>
      </c>
      <c r="V20">
        <f>_xlfn.QUARTILE.INC($N$2:N501,1)</f>
        <v>2</v>
      </c>
      <c r="W20">
        <f>_xlfn.QUARTILE.INC(O2:O501,1)</f>
        <v>1170.42</v>
      </c>
      <c r="Y20" t="s">
        <v>247</v>
      </c>
      <c r="Z20" s="22">
        <f>AVERAGE(O2:O501)</f>
        <v>3037.7435199999964</v>
      </c>
      <c r="AA20" s="22">
        <f>AVERAGEIF(D2:D501, 2024,O2:O501)</f>
        <v>2958.3962127659565</v>
      </c>
      <c r="AB20" s="22">
        <f>AVERAGEIF(D2:D501, 2025,O2:O501)</f>
        <v>3108.1081132075478</v>
      </c>
      <c r="AC20" s="55">
        <f>Analysis!H79</f>
        <v>5.0605763959391349E-2</v>
      </c>
    </row>
    <row r="21" spans="1:29" x14ac:dyDescent="0.3">
      <c r="A21" s="6">
        <v>20</v>
      </c>
      <c r="B21" s="37">
        <v>45630</v>
      </c>
      <c r="C21" s="2" t="str">
        <f t="shared" si="0"/>
        <v>Dec</v>
      </c>
      <c r="D21" s="6">
        <f t="shared" si="1"/>
        <v>2024</v>
      </c>
      <c r="E21" s="6">
        <v>55</v>
      </c>
      <c r="F21" s="4" t="s">
        <v>121</v>
      </c>
      <c r="G21" s="6">
        <v>39</v>
      </c>
      <c r="H21" t="s">
        <v>32</v>
      </c>
      <c r="I21" t="s">
        <v>33</v>
      </c>
      <c r="J21">
        <v>16</v>
      </c>
      <c r="K21" t="s">
        <v>64</v>
      </c>
      <c r="L21" t="s">
        <v>43</v>
      </c>
      <c r="M21" s="8">
        <v>1170.95</v>
      </c>
      <c r="N21" s="6">
        <v>5</v>
      </c>
      <c r="O21" s="8">
        <f t="shared" si="2"/>
        <v>5854.75</v>
      </c>
      <c r="P21" t="s">
        <v>222</v>
      </c>
      <c r="S21" t="s">
        <v>240</v>
      </c>
      <c r="T21">
        <f>_xlfn.QUARTILE.INC($G$2:G501,3)</f>
        <v>56</v>
      </c>
      <c r="U21">
        <f>_xlfn.QUARTILE.INC($M$2:M501,3)</f>
        <v>1170.95</v>
      </c>
      <c r="V21">
        <f>_xlfn.QUARTILE.INC($N$2:N501,3)</f>
        <v>5</v>
      </c>
      <c r="W21">
        <f>_xlfn.QUARTILE.INC($O2:O501,3)</f>
        <v>4229.37</v>
      </c>
      <c r="Y21" t="s">
        <v>224</v>
      </c>
      <c r="Z21">
        <f>COUNT(A2:A501)</f>
        <v>500</v>
      </c>
      <c r="AA21">
        <f>COUNTIF(D2:D501, 2024)</f>
        <v>235</v>
      </c>
      <c r="AB21">
        <f>COUNTIF(D2:D501, 2025)</f>
        <v>265</v>
      </c>
      <c r="AC21" s="55">
        <f>Analysis!H81</f>
        <v>0.1276595744680851</v>
      </c>
    </row>
    <row r="22" spans="1:29" x14ac:dyDescent="0.3">
      <c r="A22" s="6">
        <v>21</v>
      </c>
      <c r="B22" s="37">
        <v>45769</v>
      </c>
      <c r="C22" s="2" t="str">
        <f t="shared" si="0"/>
        <v>Apr</v>
      </c>
      <c r="D22" s="6">
        <f t="shared" si="1"/>
        <v>2025</v>
      </c>
      <c r="E22" s="6">
        <v>91</v>
      </c>
      <c r="F22" s="4" t="s">
        <v>120</v>
      </c>
      <c r="G22" s="6">
        <v>40</v>
      </c>
      <c r="H22" t="s">
        <v>16</v>
      </c>
      <c r="I22" t="s">
        <v>17</v>
      </c>
      <c r="J22">
        <v>16</v>
      </c>
      <c r="K22" t="s">
        <v>64</v>
      </c>
      <c r="L22" t="s">
        <v>43</v>
      </c>
      <c r="M22" s="8">
        <v>1170.95</v>
      </c>
      <c r="N22" s="6">
        <v>4</v>
      </c>
      <c r="O22" s="8">
        <f t="shared" si="2"/>
        <v>4683.8</v>
      </c>
      <c r="P22" t="s">
        <v>219</v>
      </c>
      <c r="S22" t="s">
        <v>241</v>
      </c>
      <c r="T22">
        <f>T21-T20</f>
        <v>26</v>
      </c>
      <c r="U22">
        <f>U21-U20</f>
        <v>562.47</v>
      </c>
      <c r="V22">
        <f>V21-V20</f>
        <v>3</v>
      </c>
      <c r="W22">
        <f t="shared" ref="W22" si="3">W21-W20</f>
        <v>3058.95</v>
      </c>
      <c r="Y22" t="s">
        <v>248</v>
      </c>
      <c r="Z22">
        <f>SUM(N2:N501)</f>
        <v>1763</v>
      </c>
      <c r="AA22">
        <f>SUMIF(D2:D501, 2024,N2:N501)</f>
        <v>815</v>
      </c>
      <c r="AB22">
        <f>SUMIF(D2:D501, 2025,N2:N501)</f>
        <v>948</v>
      </c>
      <c r="AC22" s="55">
        <f>Analysis!H83</f>
        <v>0.16319018404907976</v>
      </c>
    </row>
    <row r="23" spans="1:29" x14ac:dyDescent="0.3">
      <c r="A23" s="6">
        <v>22</v>
      </c>
      <c r="B23" s="37">
        <v>45355</v>
      </c>
      <c r="C23" s="2" t="str">
        <f t="shared" si="0"/>
        <v>Mar</v>
      </c>
      <c r="D23" s="6">
        <f t="shared" si="1"/>
        <v>2024</v>
      </c>
      <c r="E23" s="6">
        <v>27</v>
      </c>
      <c r="F23" s="4" t="s">
        <v>122</v>
      </c>
      <c r="G23" s="6">
        <v>25</v>
      </c>
      <c r="H23" t="s">
        <v>52</v>
      </c>
      <c r="I23" t="s">
        <v>53</v>
      </c>
      <c r="J23">
        <v>29</v>
      </c>
      <c r="K23" t="s">
        <v>65</v>
      </c>
      <c r="L23" t="s">
        <v>25</v>
      </c>
      <c r="M23" s="8">
        <v>1136.55</v>
      </c>
      <c r="N23" s="6">
        <v>2</v>
      </c>
      <c r="O23" s="8">
        <f t="shared" si="2"/>
        <v>2273.1</v>
      </c>
      <c r="P23" t="s">
        <v>220</v>
      </c>
      <c r="S23" t="s">
        <v>242</v>
      </c>
      <c r="T23">
        <f>T20-1.5*T22</f>
        <v>-9</v>
      </c>
      <c r="U23">
        <f t="shared" ref="U23:W23" si="4">U20-1.5*U22</f>
        <v>-235.22500000000002</v>
      </c>
      <c r="V23">
        <f t="shared" si="4"/>
        <v>-2.5</v>
      </c>
      <c r="W23">
        <f t="shared" si="4"/>
        <v>-3418.0049999999992</v>
      </c>
      <c r="Y23" t="s">
        <v>226</v>
      </c>
      <c r="Z23">
        <f>Analysis!E56</f>
        <v>117</v>
      </c>
      <c r="AA23">
        <f>Analysis!F77</f>
        <v>103</v>
      </c>
      <c r="AB23">
        <f>Analysis!F78</f>
        <v>111</v>
      </c>
      <c r="AC23" s="55">
        <f>Analysis!H85</f>
        <v>7.7669902912621352E-2</v>
      </c>
    </row>
    <row r="24" spans="1:29" x14ac:dyDescent="0.3">
      <c r="A24" s="6">
        <v>23</v>
      </c>
      <c r="B24" s="37">
        <v>45722</v>
      </c>
      <c r="C24" s="2" t="str">
        <f t="shared" si="0"/>
        <v>Mar</v>
      </c>
      <c r="D24" s="6">
        <f t="shared" si="1"/>
        <v>2025</v>
      </c>
      <c r="E24" s="6">
        <v>79</v>
      </c>
      <c r="F24" s="4" t="s">
        <v>123</v>
      </c>
      <c r="G24" s="6">
        <v>24</v>
      </c>
      <c r="H24" t="s">
        <v>22</v>
      </c>
      <c r="I24" t="s">
        <v>23</v>
      </c>
      <c r="J24">
        <v>21</v>
      </c>
      <c r="K24" t="s">
        <v>66</v>
      </c>
      <c r="L24" t="s">
        <v>19</v>
      </c>
      <c r="M24" s="8">
        <v>842.75</v>
      </c>
      <c r="N24" s="6">
        <v>4</v>
      </c>
      <c r="O24" s="8">
        <f t="shared" si="2"/>
        <v>3371</v>
      </c>
      <c r="P24" t="s">
        <v>221</v>
      </c>
      <c r="S24" t="s">
        <v>243</v>
      </c>
      <c r="T24">
        <f>T21+1.5*T22</f>
        <v>95</v>
      </c>
      <c r="U24">
        <f t="shared" ref="U24:W24" si="5">U21+1.5*U22</f>
        <v>2014.6550000000002</v>
      </c>
      <c r="V24">
        <f t="shared" si="5"/>
        <v>9.5</v>
      </c>
      <c r="W24">
        <f t="shared" si="5"/>
        <v>8817.7949999999983</v>
      </c>
    </row>
    <row r="25" spans="1:29" x14ac:dyDescent="0.3">
      <c r="A25" s="6">
        <v>24</v>
      </c>
      <c r="B25" s="37">
        <v>45890</v>
      </c>
      <c r="C25" s="2" t="str">
        <f t="shared" si="0"/>
        <v>Aug</v>
      </c>
      <c r="D25" s="6">
        <f t="shared" si="1"/>
        <v>2025</v>
      </c>
      <c r="E25" s="6">
        <v>53</v>
      </c>
      <c r="F25" s="4" t="s">
        <v>124</v>
      </c>
      <c r="G25" s="6">
        <v>47</v>
      </c>
      <c r="H25" t="s">
        <v>16</v>
      </c>
      <c r="I25" t="s">
        <v>17</v>
      </c>
      <c r="J25">
        <v>15</v>
      </c>
      <c r="K25" t="s">
        <v>67</v>
      </c>
      <c r="L25" t="s">
        <v>38</v>
      </c>
      <c r="M25" s="8">
        <v>1329.92</v>
      </c>
      <c r="N25" s="6">
        <v>6</v>
      </c>
      <c r="O25" s="8">
        <f t="shared" si="2"/>
        <v>7979.52</v>
      </c>
      <c r="P25" t="s">
        <v>220</v>
      </c>
      <c r="S25" t="s">
        <v>244</v>
      </c>
      <c r="T25" s="6">
        <f>COUNTIF($G$2:$G$501, "&lt;" &amp; T23)+ COUNTIF($G$2:$G$501, "&gt;" &amp; T24)</f>
        <v>0</v>
      </c>
      <c r="U25">
        <f>COUNTIF($M$2:$M$501,"&lt;"&amp;U23)+ COUNTIF($M$2:$M$501,"&gt;"&amp;U24)</f>
        <v>0</v>
      </c>
      <c r="V25" s="6">
        <f>COUNTIF($N$2:$N$501, "&lt;" &amp; V23)+ COUNTIF($N$2:$N$501, "&gt;" &amp; V24)</f>
        <v>0</v>
      </c>
      <c r="W25">
        <f>COUNTIF($O$2:$O$501, "&lt;" &amp; W23)+ COUNTIF($O$2:$O$501, "&gt;" &amp; W24)</f>
        <v>0</v>
      </c>
    </row>
    <row r="26" spans="1:29" x14ac:dyDescent="0.3">
      <c r="A26" s="6">
        <v>25</v>
      </c>
      <c r="B26" s="37">
        <v>45312</v>
      </c>
      <c r="C26" s="2" t="str">
        <f t="shared" si="0"/>
        <v>Jan</v>
      </c>
      <c r="D26" s="6">
        <f t="shared" si="1"/>
        <v>2024</v>
      </c>
      <c r="E26" s="6">
        <v>22</v>
      </c>
      <c r="F26" s="4" t="s">
        <v>125</v>
      </c>
      <c r="G26" s="6">
        <v>31</v>
      </c>
      <c r="H26" t="s">
        <v>32</v>
      </c>
      <c r="I26" t="s">
        <v>33</v>
      </c>
      <c r="J26">
        <v>18</v>
      </c>
      <c r="K26" t="s">
        <v>68</v>
      </c>
      <c r="L26" t="s">
        <v>43</v>
      </c>
      <c r="M26" s="8">
        <v>1209.0999999999999</v>
      </c>
      <c r="N26" s="6">
        <v>5</v>
      </c>
      <c r="O26" s="8">
        <f t="shared" si="2"/>
        <v>6045.5</v>
      </c>
      <c r="P26" t="s">
        <v>220</v>
      </c>
    </row>
    <row r="27" spans="1:29" x14ac:dyDescent="0.3">
      <c r="A27" s="6">
        <v>26</v>
      </c>
      <c r="B27" s="37">
        <v>45681</v>
      </c>
      <c r="C27" s="2" t="str">
        <f t="shared" si="0"/>
        <v>Jan</v>
      </c>
      <c r="D27" s="6">
        <f t="shared" si="1"/>
        <v>2025</v>
      </c>
      <c r="E27" s="6">
        <v>9</v>
      </c>
      <c r="F27" s="4" t="s">
        <v>126</v>
      </c>
      <c r="G27" s="6">
        <v>42</v>
      </c>
      <c r="H27" t="s">
        <v>16</v>
      </c>
      <c r="I27" t="s">
        <v>17</v>
      </c>
      <c r="J27">
        <v>1</v>
      </c>
      <c r="K27" t="s">
        <v>69</v>
      </c>
      <c r="L27" t="s">
        <v>29</v>
      </c>
      <c r="M27" s="8">
        <v>83.63</v>
      </c>
      <c r="N27" s="6">
        <v>4</v>
      </c>
      <c r="O27" s="8">
        <f t="shared" si="2"/>
        <v>334.52</v>
      </c>
      <c r="P27" t="s">
        <v>222</v>
      </c>
    </row>
    <row r="28" spans="1:29" x14ac:dyDescent="0.3">
      <c r="A28" s="6">
        <v>27</v>
      </c>
      <c r="B28" s="37">
        <v>45298</v>
      </c>
      <c r="C28" s="2" t="str">
        <f t="shared" si="0"/>
        <v>Jan</v>
      </c>
      <c r="D28" s="6">
        <f t="shared" si="1"/>
        <v>2024</v>
      </c>
      <c r="E28" s="6">
        <v>104</v>
      </c>
      <c r="F28" s="4" t="s">
        <v>107</v>
      </c>
      <c r="G28" s="6">
        <v>56</v>
      </c>
      <c r="H28" t="s">
        <v>22</v>
      </c>
      <c r="I28" t="s">
        <v>23</v>
      </c>
      <c r="J28">
        <v>10</v>
      </c>
      <c r="K28" t="s">
        <v>70</v>
      </c>
      <c r="L28" t="s">
        <v>71</v>
      </c>
      <c r="M28" s="8">
        <v>608.48</v>
      </c>
      <c r="N28" s="6">
        <v>3</v>
      </c>
      <c r="O28" s="8">
        <f t="shared" si="2"/>
        <v>1825.44</v>
      </c>
      <c r="P28" t="s">
        <v>220</v>
      </c>
    </row>
    <row r="29" spans="1:29" x14ac:dyDescent="0.3">
      <c r="A29" s="6">
        <v>28</v>
      </c>
      <c r="B29" s="37">
        <v>45597</v>
      </c>
      <c r="C29" s="2" t="str">
        <f t="shared" si="0"/>
        <v>Nov</v>
      </c>
      <c r="D29" s="6">
        <f t="shared" si="1"/>
        <v>2024</v>
      </c>
      <c r="E29" s="6">
        <v>114</v>
      </c>
      <c r="F29" s="4" t="s">
        <v>127</v>
      </c>
      <c r="G29" s="6">
        <v>18</v>
      </c>
      <c r="H29" t="s">
        <v>22</v>
      </c>
      <c r="I29" t="s">
        <v>23</v>
      </c>
      <c r="J29">
        <v>27</v>
      </c>
      <c r="K29" t="s">
        <v>24</v>
      </c>
      <c r="L29" t="s">
        <v>25</v>
      </c>
      <c r="M29" s="8">
        <v>845</v>
      </c>
      <c r="N29" s="6">
        <v>4</v>
      </c>
      <c r="O29" s="8">
        <f t="shared" si="2"/>
        <v>3380</v>
      </c>
      <c r="P29" t="s">
        <v>219</v>
      </c>
    </row>
    <row r="30" spans="1:29" x14ac:dyDescent="0.3">
      <c r="A30" s="6">
        <v>29</v>
      </c>
      <c r="B30" s="37">
        <v>45721</v>
      </c>
      <c r="C30" s="2" t="str">
        <f t="shared" si="0"/>
        <v>Mar</v>
      </c>
      <c r="D30" s="6">
        <f t="shared" si="1"/>
        <v>2025</v>
      </c>
      <c r="E30" s="6">
        <v>42</v>
      </c>
      <c r="F30" s="4" t="s">
        <v>106</v>
      </c>
      <c r="G30" s="6">
        <v>45</v>
      </c>
      <c r="H30" t="s">
        <v>22</v>
      </c>
      <c r="I30" t="s">
        <v>23</v>
      </c>
      <c r="J30">
        <v>23</v>
      </c>
      <c r="K30" t="s">
        <v>18</v>
      </c>
      <c r="L30" t="s">
        <v>19</v>
      </c>
      <c r="M30" s="8">
        <v>195.22</v>
      </c>
      <c r="N30" s="6">
        <v>5</v>
      </c>
      <c r="O30" s="8">
        <f t="shared" si="2"/>
        <v>976.1</v>
      </c>
      <c r="P30" t="s">
        <v>220</v>
      </c>
    </row>
    <row r="31" spans="1:29" x14ac:dyDescent="0.3">
      <c r="A31" s="6">
        <v>30</v>
      </c>
      <c r="B31" s="37">
        <v>45851</v>
      </c>
      <c r="C31" s="2" t="str">
        <f t="shared" si="0"/>
        <v>Jul</v>
      </c>
      <c r="D31" s="6">
        <f t="shared" si="1"/>
        <v>2025</v>
      </c>
      <c r="E31" s="6">
        <v>2</v>
      </c>
      <c r="F31" s="4" t="s">
        <v>128</v>
      </c>
      <c r="G31" s="6">
        <v>24</v>
      </c>
      <c r="H31" t="s">
        <v>49</v>
      </c>
      <c r="I31" t="s">
        <v>50</v>
      </c>
      <c r="J31">
        <v>30</v>
      </c>
      <c r="K31" t="s">
        <v>73</v>
      </c>
      <c r="L31" t="s">
        <v>25</v>
      </c>
      <c r="M31" s="8">
        <v>672.22</v>
      </c>
      <c r="N31" s="6">
        <v>5</v>
      </c>
      <c r="O31" s="8">
        <f t="shared" si="2"/>
        <v>3361.1000000000004</v>
      </c>
      <c r="P31" t="s">
        <v>221</v>
      </c>
    </row>
    <row r="32" spans="1:29" x14ac:dyDescent="0.3">
      <c r="A32" s="6">
        <v>31</v>
      </c>
      <c r="B32" s="37">
        <v>45517</v>
      </c>
      <c r="C32" s="2" t="str">
        <f t="shared" si="0"/>
        <v>Aug</v>
      </c>
      <c r="D32" s="6">
        <f t="shared" si="1"/>
        <v>2024</v>
      </c>
      <c r="E32" s="6">
        <v>60</v>
      </c>
      <c r="F32" s="4" t="s">
        <v>110</v>
      </c>
      <c r="G32" s="6">
        <v>28</v>
      </c>
      <c r="H32" t="s">
        <v>32</v>
      </c>
      <c r="I32" t="s">
        <v>33</v>
      </c>
      <c r="J32">
        <v>4</v>
      </c>
      <c r="K32" t="s">
        <v>48</v>
      </c>
      <c r="L32" t="s">
        <v>29</v>
      </c>
      <c r="M32" s="8">
        <v>1156.21</v>
      </c>
      <c r="N32" s="6">
        <v>4</v>
      </c>
      <c r="O32" s="8">
        <f t="shared" si="2"/>
        <v>4624.84</v>
      </c>
      <c r="P32" t="s">
        <v>220</v>
      </c>
    </row>
    <row r="33" spans="1:16" x14ac:dyDescent="0.3">
      <c r="A33" s="6">
        <v>32</v>
      </c>
      <c r="B33" s="37">
        <v>45516</v>
      </c>
      <c r="C33" s="2" t="str">
        <f t="shared" si="0"/>
        <v>Aug</v>
      </c>
      <c r="D33" s="6">
        <f t="shared" si="1"/>
        <v>2024</v>
      </c>
      <c r="E33" s="6">
        <v>29</v>
      </c>
      <c r="F33" s="4" t="s">
        <v>124</v>
      </c>
      <c r="G33" s="6">
        <v>56</v>
      </c>
      <c r="H33" t="s">
        <v>59</v>
      </c>
      <c r="I33" t="s">
        <v>33</v>
      </c>
      <c r="J33">
        <v>1</v>
      </c>
      <c r="K33" t="s">
        <v>69</v>
      </c>
      <c r="L33" t="s">
        <v>29</v>
      </c>
      <c r="M33" s="8">
        <v>83.63</v>
      </c>
      <c r="N33" s="6">
        <v>3</v>
      </c>
      <c r="O33" s="8">
        <f t="shared" si="2"/>
        <v>250.89</v>
      </c>
      <c r="P33" t="s">
        <v>220</v>
      </c>
    </row>
    <row r="34" spans="1:16" x14ac:dyDescent="0.3">
      <c r="A34" s="6">
        <v>33</v>
      </c>
      <c r="B34" s="37">
        <v>45738</v>
      </c>
      <c r="C34" s="2" t="str">
        <f t="shared" si="0"/>
        <v>Mar</v>
      </c>
      <c r="D34" s="6">
        <f t="shared" si="1"/>
        <v>2025</v>
      </c>
      <c r="E34" s="6">
        <v>114</v>
      </c>
      <c r="F34" s="4" t="s">
        <v>127</v>
      </c>
      <c r="G34" s="6">
        <v>18</v>
      </c>
      <c r="H34" t="s">
        <v>22</v>
      </c>
      <c r="I34" t="s">
        <v>23</v>
      </c>
      <c r="J34">
        <v>18</v>
      </c>
      <c r="K34" t="s">
        <v>68</v>
      </c>
      <c r="L34" t="s">
        <v>43</v>
      </c>
      <c r="M34" s="8">
        <v>1209.0999999999999</v>
      </c>
      <c r="N34" s="6">
        <v>4</v>
      </c>
      <c r="O34" s="8">
        <f t="shared" si="2"/>
        <v>4836.3999999999996</v>
      </c>
      <c r="P34" t="s">
        <v>220</v>
      </c>
    </row>
    <row r="35" spans="1:16" x14ac:dyDescent="0.3">
      <c r="A35" s="6">
        <v>34</v>
      </c>
      <c r="B35" s="37">
        <v>45321</v>
      </c>
      <c r="C35" s="2" t="str">
        <f t="shared" si="0"/>
        <v>Jan</v>
      </c>
      <c r="D35" s="6">
        <f t="shared" si="1"/>
        <v>2024</v>
      </c>
      <c r="E35" s="6">
        <v>4</v>
      </c>
      <c r="F35" s="4" t="s">
        <v>129</v>
      </c>
      <c r="G35" s="6">
        <v>50</v>
      </c>
      <c r="H35" t="s">
        <v>59</v>
      </c>
      <c r="I35" t="s">
        <v>33</v>
      </c>
      <c r="J35">
        <v>17</v>
      </c>
      <c r="K35" t="s">
        <v>42</v>
      </c>
      <c r="L35" t="s">
        <v>43</v>
      </c>
      <c r="M35" s="8">
        <v>339.98</v>
      </c>
      <c r="N35" s="6">
        <v>4</v>
      </c>
      <c r="O35" s="8">
        <f t="shared" si="2"/>
        <v>1359.92</v>
      </c>
      <c r="P35" t="s">
        <v>219</v>
      </c>
    </row>
    <row r="36" spans="1:16" x14ac:dyDescent="0.3">
      <c r="A36" s="6">
        <v>35</v>
      </c>
      <c r="B36" s="37">
        <v>45636</v>
      </c>
      <c r="C36" s="2" t="str">
        <f t="shared" si="0"/>
        <v>Dec</v>
      </c>
      <c r="D36" s="6">
        <f t="shared" si="1"/>
        <v>2024</v>
      </c>
      <c r="E36" s="6">
        <v>11</v>
      </c>
      <c r="F36" s="4" t="s">
        <v>130</v>
      </c>
      <c r="G36" s="6">
        <v>52</v>
      </c>
      <c r="H36" t="s">
        <v>32</v>
      </c>
      <c r="I36" t="s">
        <v>33</v>
      </c>
      <c r="J36">
        <v>10</v>
      </c>
      <c r="K36" t="s">
        <v>70</v>
      </c>
      <c r="L36" t="s">
        <v>71</v>
      </c>
      <c r="M36" s="8">
        <v>608.48</v>
      </c>
      <c r="N36" s="6">
        <v>6</v>
      </c>
      <c r="O36" s="8">
        <f t="shared" si="2"/>
        <v>3650.88</v>
      </c>
      <c r="P36" t="s">
        <v>221</v>
      </c>
    </row>
    <row r="37" spans="1:16" x14ac:dyDescent="0.3">
      <c r="A37" s="6">
        <v>36</v>
      </c>
      <c r="B37" s="37">
        <v>45987</v>
      </c>
      <c r="C37" s="2" t="str">
        <f t="shared" si="0"/>
        <v>Nov</v>
      </c>
      <c r="D37" s="6">
        <f t="shared" si="1"/>
        <v>2025</v>
      </c>
      <c r="E37" s="6">
        <v>67</v>
      </c>
      <c r="F37" s="4" t="s">
        <v>131</v>
      </c>
      <c r="G37" s="6">
        <v>23</v>
      </c>
      <c r="H37" t="s">
        <v>52</v>
      </c>
      <c r="I37" t="s">
        <v>53</v>
      </c>
      <c r="J37">
        <v>29</v>
      </c>
      <c r="K37" t="s">
        <v>65</v>
      </c>
      <c r="L37" t="s">
        <v>25</v>
      </c>
      <c r="M37" s="8">
        <v>1136.55</v>
      </c>
      <c r="N37" s="6">
        <v>4</v>
      </c>
      <c r="O37" s="8">
        <f t="shared" si="2"/>
        <v>4546.2</v>
      </c>
      <c r="P37" t="s">
        <v>222</v>
      </c>
    </row>
    <row r="38" spans="1:16" x14ac:dyDescent="0.3">
      <c r="A38" s="6">
        <v>37</v>
      </c>
      <c r="B38" s="37">
        <v>45461</v>
      </c>
      <c r="C38" s="2" t="str">
        <f t="shared" si="0"/>
        <v>Jun</v>
      </c>
      <c r="D38" s="6">
        <f t="shared" si="1"/>
        <v>2024</v>
      </c>
      <c r="E38" s="6">
        <v>45</v>
      </c>
      <c r="F38" s="4" t="s">
        <v>132</v>
      </c>
      <c r="G38" s="6">
        <v>46</v>
      </c>
      <c r="H38" t="s">
        <v>16</v>
      </c>
      <c r="I38" t="s">
        <v>17</v>
      </c>
      <c r="J38">
        <v>30</v>
      </c>
      <c r="K38" t="s">
        <v>73</v>
      </c>
      <c r="L38" t="s">
        <v>25</v>
      </c>
      <c r="M38" s="8">
        <v>672.22</v>
      </c>
      <c r="N38" s="6">
        <v>4</v>
      </c>
      <c r="O38" s="8">
        <f t="shared" si="2"/>
        <v>2688.88</v>
      </c>
      <c r="P38" t="s">
        <v>221</v>
      </c>
    </row>
    <row r="39" spans="1:16" x14ac:dyDescent="0.3">
      <c r="A39" s="6">
        <v>38</v>
      </c>
      <c r="B39" s="37">
        <v>45422</v>
      </c>
      <c r="C39" s="2" t="str">
        <f t="shared" si="0"/>
        <v>May</v>
      </c>
      <c r="D39" s="6">
        <f t="shared" si="1"/>
        <v>2024</v>
      </c>
      <c r="E39" s="6">
        <v>91</v>
      </c>
      <c r="F39" s="4" t="s">
        <v>120</v>
      </c>
      <c r="G39" s="6">
        <v>40</v>
      </c>
      <c r="H39" t="s">
        <v>16</v>
      </c>
      <c r="I39" t="s">
        <v>17</v>
      </c>
      <c r="J39">
        <v>4</v>
      </c>
      <c r="K39" t="s">
        <v>48</v>
      </c>
      <c r="L39" t="s">
        <v>29</v>
      </c>
      <c r="M39" s="8">
        <v>1156.21</v>
      </c>
      <c r="N39" s="6">
        <v>5</v>
      </c>
      <c r="O39" s="8">
        <f t="shared" si="2"/>
        <v>5781.05</v>
      </c>
      <c r="P39" t="s">
        <v>220</v>
      </c>
    </row>
    <row r="40" spans="1:16" x14ac:dyDescent="0.3">
      <c r="A40" s="6">
        <v>39</v>
      </c>
      <c r="B40" s="37">
        <v>45838</v>
      </c>
      <c r="C40" s="2" t="str">
        <f t="shared" si="0"/>
        <v>Jun</v>
      </c>
      <c r="D40" s="6">
        <f t="shared" si="1"/>
        <v>2025</v>
      </c>
      <c r="E40" s="6">
        <v>102</v>
      </c>
      <c r="F40" s="4" t="s">
        <v>112</v>
      </c>
      <c r="G40" s="6">
        <v>50</v>
      </c>
      <c r="H40" t="s">
        <v>22</v>
      </c>
      <c r="I40" t="s">
        <v>23</v>
      </c>
      <c r="J40">
        <v>30</v>
      </c>
      <c r="K40" t="s">
        <v>73</v>
      </c>
      <c r="L40" t="s">
        <v>25</v>
      </c>
      <c r="M40" s="8">
        <v>672.22</v>
      </c>
      <c r="N40" s="6">
        <v>1</v>
      </c>
      <c r="O40" s="8">
        <f t="shared" si="2"/>
        <v>672.22</v>
      </c>
      <c r="P40" t="s">
        <v>222</v>
      </c>
    </row>
    <row r="41" spans="1:16" x14ac:dyDescent="0.3">
      <c r="A41" s="6">
        <v>40</v>
      </c>
      <c r="B41" s="37">
        <v>45695</v>
      </c>
      <c r="C41" s="2" t="str">
        <f t="shared" si="0"/>
        <v>Feb</v>
      </c>
      <c r="D41" s="6">
        <f t="shared" si="1"/>
        <v>2025</v>
      </c>
      <c r="E41" s="6">
        <v>82</v>
      </c>
      <c r="F41" s="4" t="s">
        <v>133</v>
      </c>
      <c r="G41" s="6">
        <v>58</v>
      </c>
      <c r="H41" t="s">
        <v>16</v>
      </c>
      <c r="I41" t="s">
        <v>17</v>
      </c>
      <c r="J41">
        <v>30</v>
      </c>
      <c r="K41" t="s">
        <v>73</v>
      </c>
      <c r="L41" t="s">
        <v>25</v>
      </c>
      <c r="M41" s="8">
        <v>672.22</v>
      </c>
      <c r="N41" s="6">
        <v>5</v>
      </c>
      <c r="O41" s="8">
        <f t="shared" si="2"/>
        <v>3361.1000000000004</v>
      </c>
      <c r="P41" t="s">
        <v>219</v>
      </c>
    </row>
    <row r="42" spans="1:16" x14ac:dyDescent="0.3">
      <c r="A42" s="6">
        <v>41</v>
      </c>
      <c r="B42" s="37">
        <v>45869</v>
      </c>
      <c r="C42" s="2" t="str">
        <f t="shared" si="0"/>
        <v>Jul</v>
      </c>
      <c r="D42" s="6">
        <f t="shared" si="1"/>
        <v>2025</v>
      </c>
      <c r="E42" s="6">
        <v>48</v>
      </c>
      <c r="F42" s="4" t="s">
        <v>114</v>
      </c>
      <c r="G42" s="6">
        <v>20</v>
      </c>
      <c r="H42" t="s">
        <v>32</v>
      </c>
      <c r="I42" t="s">
        <v>33</v>
      </c>
      <c r="J42">
        <v>9</v>
      </c>
      <c r="K42" t="s">
        <v>76</v>
      </c>
      <c r="L42" t="s">
        <v>71</v>
      </c>
      <c r="M42" s="8">
        <v>585.21</v>
      </c>
      <c r="N42" s="6">
        <v>6</v>
      </c>
      <c r="O42" s="8">
        <f t="shared" si="2"/>
        <v>3511.26</v>
      </c>
      <c r="P42" t="s">
        <v>222</v>
      </c>
    </row>
    <row r="43" spans="1:16" x14ac:dyDescent="0.3">
      <c r="A43" s="6">
        <v>42</v>
      </c>
      <c r="B43" s="37">
        <v>45319</v>
      </c>
      <c r="C43" s="2" t="str">
        <f t="shared" si="0"/>
        <v>Jan</v>
      </c>
      <c r="D43" s="6">
        <f t="shared" si="1"/>
        <v>2024</v>
      </c>
      <c r="E43" s="6">
        <v>45</v>
      </c>
      <c r="F43" s="4" t="s">
        <v>132</v>
      </c>
      <c r="G43" s="6">
        <v>46</v>
      </c>
      <c r="H43" t="s">
        <v>16</v>
      </c>
      <c r="I43" t="s">
        <v>17</v>
      </c>
      <c r="J43">
        <v>28</v>
      </c>
      <c r="K43" t="s">
        <v>77</v>
      </c>
      <c r="L43" t="s">
        <v>25</v>
      </c>
      <c r="M43" s="8">
        <v>486.19</v>
      </c>
      <c r="N43" s="6">
        <v>1</v>
      </c>
      <c r="O43" s="8">
        <f t="shared" si="2"/>
        <v>486.19</v>
      </c>
      <c r="P43" t="s">
        <v>222</v>
      </c>
    </row>
    <row r="44" spans="1:16" x14ac:dyDescent="0.3">
      <c r="A44" s="6">
        <v>43</v>
      </c>
      <c r="B44" s="37">
        <v>45950</v>
      </c>
      <c r="C44" s="2" t="str">
        <f t="shared" si="0"/>
        <v>Oct</v>
      </c>
      <c r="D44" s="6">
        <f t="shared" si="1"/>
        <v>2025</v>
      </c>
      <c r="E44" s="6">
        <v>40</v>
      </c>
      <c r="F44" s="4" t="s">
        <v>134</v>
      </c>
      <c r="G44" s="6">
        <v>67</v>
      </c>
      <c r="H44" t="s">
        <v>59</v>
      </c>
      <c r="I44" t="s">
        <v>33</v>
      </c>
      <c r="J44">
        <v>24</v>
      </c>
      <c r="K44" t="s">
        <v>45</v>
      </c>
      <c r="L44" t="s">
        <v>19</v>
      </c>
      <c r="M44" s="8">
        <v>213.01</v>
      </c>
      <c r="N44" s="6">
        <v>4</v>
      </c>
      <c r="O44" s="8">
        <f t="shared" si="2"/>
        <v>852.04</v>
      </c>
      <c r="P44" t="s">
        <v>220</v>
      </c>
    </row>
    <row r="45" spans="1:16" x14ac:dyDescent="0.3">
      <c r="A45" s="6">
        <v>44</v>
      </c>
      <c r="B45" s="37">
        <v>45430</v>
      </c>
      <c r="C45" s="2" t="str">
        <f t="shared" si="0"/>
        <v>May</v>
      </c>
      <c r="D45" s="6">
        <f t="shared" si="1"/>
        <v>2024</v>
      </c>
      <c r="E45" s="6">
        <v>27</v>
      </c>
      <c r="F45" s="4" t="s">
        <v>122</v>
      </c>
      <c r="G45" s="6">
        <v>25</v>
      </c>
      <c r="H45" t="s">
        <v>52</v>
      </c>
      <c r="I45" t="s">
        <v>53</v>
      </c>
      <c r="J45">
        <v>25</v>
      </c>
      <c r="K45" t="s">
        <v>61</v>
      </c>
      <c r="L45" t="s">
        <v>19</v>
      </c>
      <c r="M45" s="8">
        <v>705</v>
      </c>
      <c r="N45" s="6">
        <v>4</v>
      </c>
      <c r="O45" s="8">
        <f t="shared" si="2"/>
        <v>2820</v>
      </c>
      <c r="P45" t="s">
        <v>222</v>
      </c>
    </row>
    <row r="46" spans="1:16" x14ac:dyDescent="0.3">
      <c r="A46" s="6">
        <v>45</v>
      </c>
      <c r="B46" s="37">
        <v>45478</v>
      </c>
      <c r="C46" s="2" t="str">
        <f t="shared" si="0"/>
        <v>Jul</v>
      </c>
      <c r="D46" s="6">
        <f t="shared" si="1"/>
        <v>2024</v>
      </c>
      <c r="E46" s="6">
        <v>89</v>
      </c>
      <c r="F46" s="4" t="s">
        <v>135</v>
      </c>
      <c r="G46" s="6">
        <v>41</v>
      </c>
      <c r="H46" t="s">
        <v>52</v>
      </c>
      <c r="I46" t="s">
        <v>53</v>
      </c>
      <c r="J46">
        <v>21</v>
      </c>
      <c r="K46" t="s">
        <v>66</v>
      </c>
      <c r="L46" t="s">
        <v>19</v>
      </c>
      <c r="M46" s="8">
        <v>842.75</v>
      </c>
      <c r="N46" s="6">
        <v>1</v>
      </c>
      <c r="O46" s="8">
        <f t="shared" si="2"/>
        <v>842.75</v>
      </c>
      <c r="P46" t="s">
        <v>221</v>
      </c>
    </row>
    <row r="47" spans="1:16" x14ac:dyDescent="0.3">
      <c r="A47" s="6">
        <v>46</v>
      </c>
      <c r="B47" s="37">
        <v>45558</v>
      </c>
      <c r="C47" s="2" t="str">
        <f t="shared" si="0"/>
        <v>Sept</v>
      </c>
      <c r="D47" s="6">
        <f t="shared" si="1"/>
        <v>2024</v>
      </c>
      <c r="E47" s="6">
        <v>113</v>
      </c>
      <c r="F47" s="4" t="s">
        <v>111</v>
      </c>
      <c r="G47" s="6">
        <v>29</v>
      </c>
      <c r="H47" t="s">
        <v>32</v>
      </c>
      <c r="I47" t="s">
        <v>33</v>
      </c>
      <c r="J47">
        <v>27</v>
      </c>
      <c r="K47" t="s">
        <v>24</v>
      </c>
      <c r="L47" t="s">
        <v>25</v>
      </c>
      <c r="M47" s="8">
        <v>845</v>
      </c>
      <c r="N47" s="6">
        <v>4</v>
      </c>
      <c r="O47" s="8">
        <f t="shared" si="2"/>
        <v>3380</v>
      </c>
      <c r="P47" t="s">
        <v>222</v>
      </c>
    </row>
    <row r="48" spans="1:16" x14ac:dyDescent="0.3">
      <c r="A48" s="6">
        <v>47</v>
      </c>
      <c r="B48" s="37">
        <v>45627</v>
      </c>
      <c r="C48" s="2" t="str">
        <f t="shared" si="0"/>
        <v>Dec</v>
      </c>
      <c r="D48" s="6">
        <f t="shared" si="1"/>
        <v>2024</v>
      </c>
      <c r="E48" s="6">
        <v>100</v>
      </c>
      <c r="F48" s="4" t="s">
        <v>136</v>
      </c>
      <c r="G48" s="6">
        <v>60</v>
      </c>
      <c r="H48" t="s">
        <v>49</v>
      </c>
      <c r="I48" t="s">
        <v>50</v>
      </c>
      <c r="J48">
        <v>9</v>
      </c>
      <c r="K48" t="s">
        <v>76</v>
      </c>
      <c r="L48" t="s">
        <v>71</v>
      </c>
      <c r="M48" s="8">
        <v>585.21</v>
      </c>
      <c r="N48" s="6">
        <v>2</v>
      </c>
      <c r="O48" s="8">
        <f t="shared" si="2"/>
        <v>1170.42</v>
      </c>
      <c r="P48" t="s">
        <v>220</v>
      </c>
    </row>
    <row r="49" spans="1:16" x14ac:dyDescent="0.3">
      <c r="A49" s="6">
        <v>48</v>
      </c>
      <c r="B49" s="37">
        <v>45757</v>
      </c>
      <c r="C49" s="2" t="str">
        <f t="shared" si="0"/>
        <v>Apr</v>
      </c>
      <c r="D49" s="6">
        <f t="shared" si="1"/>
        <v>2025</v>
      </c>
      <c r="E49" s="6">
        <v>25</v>
      </c>
      <c r="F49" s="4" t="s">
        <v>137</v>
      </c>
      <c r="G49" s="6">
        <v>45</v>
      </c>
      <c r="H49" t="s">
        <v>22</v>
      </c>
      <c r="I49" t="s">
        <v>23</v>
      </c>
      <c r="J49">
        <v>11</v>
      </c>
      <c r="K49" t="s">
        <v>55</v>
      </c>
      <c r="L49" t="s">
        <v>38</v>
      </c>
      <c r="M49" s="8">
        <v>234.14</v>
      </c>
      <c r="N49" s="6">
        <v>3</v>
      </c>
      <c r="O49" s="8">
        <f t="shared" si="2"/>
        <v>702.42</v>
      </c>
      <c r="P49" t="s">
        <v>220</v>
      </c>
    </row>
    <row r="50" spans="1:16" x14ac:dyDescent="0.3">
      <c r="A50" s="6">
        <v>49</v>
      </c>
      <c r="B50" s="37">
        <v>45637</v>
      </c>
      <c r="C50" s="2" t="str">
        <f t="shared" si="0"/>
        <v>Dec</v>
      </c>
      <c r="D50" s="6">
        <f t="shared" si="1"/>
        <v>2024</v>
      </c>
      <c r="E50" s="6">
        <v>25</v>
      </c>
      <c r="F50" s="4" t="s">
        <v>137</v>
      </c>
      <c r="G50" s="6">
        <v>45</v>
      </c>
      <c r="H50" t="s">
        <v>22</v>
      </c>
      <c r="I50" t="s">
        <v>23</v>
      </c>
      <c r="J50">
        <v>2</v>
      </c>
      <c r="K50" t="s">
        <v>34</v>
      </c>
      <c r="L50" t="s">
        <v>29</v>
      </c>
      <c r="M50" s="8">
        <v>1476.14</v>
      </c>
      <c r="N50" s="6">
        <v>4</v>
      </c>
      <c r="O50" s="8">
        <f t="shared" si="2"/>
        <v>5904.56</v>
      </c>
      <c r="P50" t="s">
        <v>221</v>
      </c>
    </row>
    <row r="51" spans="1:16" x14ac:dyDescent="0.3">
      <c r="A51" s="6">
        <v>50</v>
      </c>
      <c r="B51" s="37">
        <v>45576</v>
      </c>
      <c r="C51" s="2" t="str">
        <f t="shared" si="0"/>
        <v>Oct</v>
      </c>
      <c r="D51" s="6">
        <f t="shared" si="1"/>
        <v>2024</v>
      </c>
      <c r="E51" s="6">
        <v>45</v>
      </c>
      <c r="F51" s="4" t="s">
        <v>132</v>
      </c>
      <c r="G51" s="6">
        <v>46</v>
      </c>
      <c r="H51" t="s">
        <v>16</v>
      </c>
      <c r="I51" t="s">
        <v>17</v>
      </c>
      <c r="J51">
        <v>11</v>
      </c>
      <c r="K51" t="s">
        <v>55</v>
      </c>
      <c r="L51" t="s">
        <v>38</v>
      </c>
      <c r="M51" s="8">
        <v>234.14</v>
      </c>
      <c r="N51" s="6">
        <v>4</v>
      </c>
      <c r="O51" s="8">
        <f t="shared" si="2"/>
        <v>936.56</v>
      </c>
      <c r="P51" t="s">
        <v>222</v>
      </c>
    </row>
    <row r="52" spans="1:16" x14ac:dyDescent="0.3">
      <c r="A52" s="6">
        <v>51</v>
      </c>
      <c r="B52" s="37">
        <v>45550</v>
      </c>
      <c r="C52" s="2" t="str">
        <f t="shared" si="0"/>
        <v>Sept</v>
      </c>
      <c r="D52" s="6">
        <f t="shared" si="1"/>
        <v>2024</v>
      </c>
      <c r="E52" s="6">
        <v>71</v>
      </c>
      <c r="F52" s="4" t="s">
        <v>138</v>
      </c>
      <c r="G52" s="6">
        <v>31</v>
      </c>
      <c r="H52" t="s">
        <v>16</v>
      </c>
      <c r="I52" t="s">
        <v>17</v>
      </c>
      <c r="J52">
        <v>8</v>
      </c>
      <c r="K52" t="s">
        <v>78</v>
      </c>
      <c r="L52" t="s">
        <v>71</v>
      </c>
      <c r="M52" s="8">
        <v>1081.74</v>
      </c>
      <c r="N52" s="6">
        <v>1</v>
      </c>
      <c r="O52" s="8">
        <f t="shared" si="2"/>
        <v>1081.74</v>
      </c>
      <c r="P52" t="s">
        <v>221</v>
      </c>
    </row>
    <row r="53" spans="1:16" x14ac:dyDescent="0.3">
      <c r="A53" s="6">
        <v>52</v>
      </c>
      <c r="B53" s="37">
        <v>45773</v>
      </c>
      <c r="C53" s="2" t="str">
        <f t="shared" si="0"/>
        <v>Apr</v>
      </c>
      <c r="D53" s="6">
        <f t="shared" si="1"/>
        <v>2025</v>
      </c>
      <c r="E53" s="6">
        <v>108</v>
      </c>
      <c r="F53" s="4" t="s">
        <v>139</v>
      </c>
      <c r="G53" s="6">
        <v>22</v>
      </c>
      <c r="H53" t="s">
        <v>49</v>
      </c>
      <c r="I53" t="s">
        <v>50</v>
      </c>
      <c r="J53">
        <v>12</v>
      </c>
      <c r="K53" t="s">
        <v>37</v>
      </c>
      <c r="L53" t="s">
        <v>38</v>
      </c>
      <c r="M53" s="8">
        <v>1036.1199999999999</v>
      </c>
      <c r="N53" s="6">
        <v>1</v>
      </c>
      <c r="O53" s="8">
        <f t="shared" si="2"/>
        <v>1036.1199999999999</v>
      </c>
      <c r="P53" t="s">
        <v>221</v>
      </c>
    </row>
    <row r="54" spans="1:16" x14ac:dyDescent="0.3">
      <c r="A54" s="6">
        <v>53</v>
      </c>
      <c r="B54" s="37">
        <v>45844</v>
      </c>
      <c r="C54" s="2" t="str">
        <f t="shared" si="0"/>
        <v>Jul</v>
      </c>
      <c r="D54" s="6">
        <f t="shared" si="1"/>
        <v>2025</v>
      </c>
      <c r="E54" s="6">
        <v>1</v>
      </c>
      <c r="F54" s="4" t="s">
        <v>140</v>
      </c>
      <c r="G54" s="6">
        <v>35</v>
      </c>
      <c r="H54" t="s">
        <v>59</v>
      </c>
      <c r="I54" t="s">
        <v>33</v>
      </c>
      <c r="J54">
        <v>24</v>
      </c>
      <c r="K54" t="s">
        <v>45</v>
      </c>
      <c r="L54" t="s">
        <v>19</v>
      </c>
      <c r="M54" s="8">
        <v>213.01</v>
      </c>
      <c r="N54" s="6">
        <v>1</v>
      </c>
      <c r="O54" s="8">
        <f t="shared" si="2"/>
        <v>213.01</v>
      </c>
      <c r="P54" t="s">
        <v>221</v>
      </c>
    </row>
    <row r="55" spans="1:16" x14ac:dyDescent="0.3">
      <c r="A55" s="6">
        <v>54</v>
      </c>
      <c r="B55" s="37">
        <v>45650</v>
      </c>
      <c r="C55" s="2" t="str">
        <f t="shared" si="0"/>
        <v>Dec</v>
      </c>
      <c r="D55" s="6">
        <f t="shared" si="1"/>
        <v>2024</v>
      </c>
      <c r="E55" s="6">
        <v>92</v>
      </c>
      <c r="F55" s="4" t="s">
        <v>141</v>
      </c>
      <c r="G55" s="6">
        <v>40</v>
      </c>
      <c r="H55" t="s">
        <v>49</v>
      </c>
      <c r="I55" t="s">
        <v>50</v>
      </c>
      <c r="J55">
        <v>9</v>
      </c>
      <c r="K55" t="s">
        <v>76</v>
      </c>
      <c r="L55" t="s">
        <v>71</v>
      </c>
      <c r="M55" s="8">
        <v>585.21</v>
      </c>
      <c r="N55" s="6">
        <v>2</v>
      </c>
      <c r="O55" s="8">
        <f t="shared" si="2"/>
        <v>1170.42</v>
      </c>
      <c r="P55" t="s">
        <v>219</v>
      </c>
    </row>
    <row r="56" spans="1:16" x14ac:dyDescent="0.3">
      <c r="A56" s="6">
        <v>55</v>
      </c>
      <c r="B56" s="37">
        <v>45957</v>
      </c>
      <c r="C56" s="2" t="str">
        <f t="shared" si="0"/>
        <v>Oct</v>
      </c>
      <c r="D56" s="6">
        <f t="shared" si="1"/>
        <v>2025</v>
      </c>
      <c r="E56" s="6">
        <v>68</v>
      </c>
      <c r="F56" s="4" t="s">
        <v>142</v>
      </c>
      <c r="G56" s="6">
        <v>22</v>
      </c>
      <c r="H56" t="s">
        <v>52</v>
      </c>
      <c r="I56" t="s">
        <v>53</v>
      </c>
      <c r="J56">
        <v>1</v>
      </c>
      <c r="K56" t="s">
        <v>69</v>
      </c>
      <c r="L56" t="s">
        <v>29</v>
      </c>
      <c r="M56" s="8">
        <v>83.63</v>
      </c>
      <c r="N56" s="6">
        <v>1</v>
      </c>
      <c r="O56" s="8">
        <f t="shared" si="2"/>
        <v>83.63</v>
      </c>
      <c r="P56" t="s">
        <v>220</v>
      </c>
    </row>
    <row r="57" spans="1:16" x14ac:dyDescent="0.3">
      <c r="A57" s="6">
        <v>56</v>
      </c>
      <c r="B57" s="37">
        <v>45959</v>
      </c>
      <c r="C57" s="2" t="str">
        <f t="shared" si="0"/>
        <v>Oct</v>
      </c>
      <c r="D57" s="6">
        <f t="shared" si="1"/>
        <v>2025</v>
      </c>
      <c r="E57" s="6">
        <v>7</v>
      </c>
      <c r="F57" s="4" t="s">
        <v>143</v>
      </c>
      <c r="G57" s="6">
        <v>62</v>
      </c>
      <c r="H57" t="s">
        <v>32</v>
      </c>
      <c r="I57" t="s">
        <v>33</v>
      </c>
      <c r="J57">
        <v>10</v>
      </c>
      <c r="K57" t="s">
        <v>70</v>
      </c>
      <c r="L57" t="s">
        <v>71</v>
      </c>
      <c r="M57" s="8">
        <v>608.48</v>
      </c>
      <c r="N57" s="6">
        <v>1</v>
      </c>
      <c r="O57" s="8">
        <f t="shared" si="2"/>
        <v>608.48</v>
      </c>
      <c r="P57" t="s">
        <v>222</v>
      </c>
    </row>
    <row r="58" spans="1:16" x14ac:dyDescent="0.3">
      <c r="A58" s="6">
        <v>57</v>
      </c>
      <c r="B58" s="37">
        <v>45323</v>
      </c>
      <c r="C58" s="2" t="str">
        <f t="shared" si="0"/>
        <v>Feb</v>
      </c>
      <c r="D58" s="6">
        <f t="shared" si="1"/>
        <v>2024</v>
      </c>
      <c r="E58" s="6">
        <v>36</v>
      </c>
      <c r="F58" s="4" t="s">
        <v>144</v>
      </c>
      <c r="G58" s="6">
        <v>49</v>
      </c>
      <c r="H58" t="s">
        <v>32</v>
      </c>
      <c r="I58" t="s">
        <v>33</v>
      </c>
      <c r="J58">
        <v>2</v>
      </c>
      <c r="K58" t="s">
        <v>34</v>
      </c>
      <c r="L58" t="s">
        <v>29</v>
      </c>
      <c r="M58" s="8">
        <v>1476.14</v>
      </c>
      <c r="N58" s="6">
        <v>2</v>
      </c>
      <c r="O58" s="8">
        <f t="shared" si="2"/>
        <v>2952.28</v>
      </c>
      <c r="P58" t="s">
        <v>222</v>
      </c>
    </row>
    <row r="59" spans="1:16" x14ac:dyDescent="0.3">
      <c r="A59" s="6">
        <v>58</v>
      </c>
      <c r="B59" s="37">
        <v>45496</v>
      </c>
      <c r="C59" s="2" t="str">
        <f t="shared" si="0"/>
        <v>Jul</v>
      </c>
      <c r="D59" s="6">
        <f t="shared" si="1"/>
        <v>2024</v>
      </c>
      <c r="E59" s="6">
        <v>75</v>
      </c>
      <c r="F59" s="4" t="s">
        <v>119</v>
      </c>
      <c r="G59" s="6">
        <v>31</v>
      </c>
      <c r="H59" t="s">
        <v>59</v>
      </c>
      <c r="I59" t="s">
        <v>33</v>
      </c>
      <c r="J59">
        <v>7</v>
      </c>
      <c r="K59" t="s">
        <v>80</v>
      </c>
      <c r="L59" t="s">
        <v>71</v>
      </c>
      <c r="M59" s="8">
        <v>869.87</v>
      </c>
      <c r="N59" s="6">
        <v>1</v>
      </c>
      <c r="O59" s="8">
        <f t="shared" si="2"/>
        <v>869.87</v>
      </c>
      <c r="P59" t="s">
        <v>220</v>
      </c>
    </row>
    <row r="60" spans="1:16" x14ac:dyDescent="0.3">
      <c r="A60" s="6">
        <v>59</v>
      </c>
      <c r="B60" s="37">
        <v>45928</v>
      </c>
      <c r="C60" s="2" t="str">
        <f t="shared" si="0"/>
        <v>Sept</v>
      </c>
      <c r="D60" s="6">
        <f t="shared" si="1"/>
        <v>2025</v>
      </c>
      <c r="E60" s="6">
        <v>105</v>
      </c>
      <c r="F60" s="4" t="s">
        <v>113</v>
      </c>
      <c r="G60" s="6">
        <v>45</v>
      </c>
      <c r="H60" t="s">
        <v>16</v>
      </c>
      <c r="I60" t="s">
        <v>17</v>
      </c>
      <c r="J60">
        <v>4</v>
      </c>
      <c r="K60" t="s">
        <v>48</v>
      </c>
      <c r="L60" t="s">
        <v>29</v>
      </c>
      <c r="M60" s="8">
        <v>1156.21</v>
      </c>
      <c r="N60" s="6">
        <v>2</v>
      </c>
      <c r="O60" s="8">
        <f t="shared" si="2"/>
        <v>2312.42</v>
      </c>
      <c r="P60" t="s">
        <v>219</v>
      </c>
    </row>
    <row r="61" spans="1:16" x14ac:dyDescent="0.3">
      <c r="A61" s="6">
        <v>60</v>
      </c>
      <c r="B61" s="37">
        <v>45536</v>
      </c>
      <c r="C61" s="2" t="str">
        <f t="shared" si="0"/>
        <v>Sept</v>
      </c>
      <c r="D61" s="6">
        <f t="shared" si="1"/>
        <v>2024</v>
      </c>
      <c r="E61" s="6">
        <v>22</v>
      </c>
      <c r="F61" s="4" t="s">
        <v>125</v>
      </c>
      <c r="G61" s="6">
        <v>31</v>
      </c>
      <c r="H61" t="s">
        <v>32</v>
      </c>
      <c r="I61" t="s">
        <v>33</v>
      </c>
      <c r="J61">
        <v>4</v>
      </c>
      <c r="K61" t="s">
        <v>48</v>
      </c>
      <c r="L61" t="s">
        <v>29</v>
      </c>
      <c r="M61" s="8">
        <v>1156.21</v>
      </c>
      <c r="N61" s="6">
        <v>2</v>
      </c>
      <c r="O61" s="8">
        <f t="shared" si="2"/>
        <v>2312.42</v>
      </c>
      <c r="P61" t="s">
        <v>219</v>
      </c>
    </row>
    <row r="62" spans="1:16" x14ac:dyDescent="0.3">
      <c r="A62" s="6">
        <v>61</v>
      </c>
      <c r="B62" s="37">
        <v>45776</v>
      </c>
      <c r="C62" s="2" t="str">
        <f t="shared" si="0"/>
        <v>Apr</v>
      </c>
      <c r="D62" s="6">
        <f t="shared" si="1"/>
        <v>2025</v>
      </c>
      <c r="E62" s="6">
        <v>117</v>
      </c>
      <c r="F62" s="4" t="s">
        <v>145</v>
      </c>
      <c r="G62" s="6">
        <v>68</v>
      </c>
      <c r="H62" t="s">
        <v>49</v>
      </c>
      <c r="I62" t="s">
        <v>50</v>
      </c>
      <c r="J62">
        <v>14</v>
      </c>
      <c r="K62" t="s">
        <v>81</v>
      </c>
      <c r="L62" t="s">
        <v>38</v>
      </c>
      <c r="M62" s="8">
        <v>1292.75</v>
      </c>
      <c r="N62" s="6">
        <v>6</v>
      </c>
      <c r="O62" s="8">
        <f t="shared" si="2"/>
        <v>7756.5</v>
      </c>
      <c r="P62" t="s">
        <v>221</v>
      </c>
    </row>
    <row r="63" spans="1:16" x14ac:dyDescent="0.3">
      <c r="A63" s="6">
        <v>62</v>
      </c>
      <c r="B63" s="37">
        <v>45409</v>
      </c>
      <c r="C63" s="2" t="str">
        <f t="shared" si="0"/>
        <v>Apr</v>
      </c>
      <c r="D63" s="6">
        <f t="shared" si="1"/>
        <v>2024</v>
      </c>
      <c r="E63" s="6">
        <v>61</v>
      </c>
      <c r="F63" s="4" t="s">
        <v>146</v>
      </c>
      <c r="G63" s="6">
        <v>43</v>
      </c>
      <c r="H63" t="s">
        <v>52</v>
      </c>
      <c r="I63" t="s">
        <v>53</v>
      </c>
      <c r="J63">
        <v>24</v>
      </c>
      <c r="K63" t="s">
        <v>45</v>
      </c>
      <c r="L63" t="s">
        <v>19</v>
      </c>
      <c r="M63" s="8">
        <v>213.01</v>
      </c>
      <c r="N63" s="6">
        <v>5</v>
      </c>
      <c r="O63" s="8">
        <f t="shared" si="2"/>
        <v>1065.05</v>
      </c>
      <c r="P63" t="s">
        <v>222</v>
      </c>
    </row>
    <row r="64" spans="1:16" x14ac:dyDescent="0.3">
      <c r="A64" s="6">
        <v>63</v>
      </c>
      <c r="B64" s="37">
        <v>45515</v>
      </c>
      <c r="C64" s="2" t="str">
        <f t="shared" si="0"/>
        <v>Aug</v>
      </c>
      <c r="D64" s="6">
        <f t="shared" si="1"/>
        <v>2024</v>
      </c>
      <c r="E64" s="6">
        <v>68</v>
      </c>
      <c r="F64" s="4" t="s">
        <v>142</v>
      </c>
      <c r="G64" s="6">
        <v>22</v>
      </c>
      <c r="H64" t="s">
        <v>52</v>
      </c>
      <c r="I64" t="s">
        <v>53</v>
      </c>
      <c r="J64">
        <v>17</v>
      </c>
      <c r="K64" t="s">
        <v>42</v>
      </c>
      <c r="L64" t="s">
        <v>43</v>
      </c>
      <c r="M64" s="8">
        <v>339.98</v>
      </c>
      <c r="N64" s="6">
        <v>4</v>
      </c>
      <c r="O64" s="8">
        <f t="shared" si="2"/>
        <v>1359.92</v>
      </c>
      <c r="P64" t="s">
        <v>220</v>
      </c>
    </row>
    <row r="65" spans="1:16" x14ac:dyDescent="0.3">
      <c r="A65" s="6">
        <v>64</v>
      </c>
      <c r="B65" s="37">
        <v>46008</v>
      </c>
      <c r="C65" s="2" t="str">
        <f t="shared" si="0"/>
        <v>Dec</v>
      </c>
      <c r="D65" s="6">
        <f t="shared" si="1"/>
        <v>2025</v>
      </c>
      <c r="E65" s="6">
        <v>54</v>
      </c>
      <c r="F65" s="4" t="s">
        <v>117</v>
      </c>
      <c r="G65" s="6">
        <v>59</v>
      </c>
      <c r="H65" t="s">
        <v>32</v>
      </c>
      <c r="I65" t="s">
        <v>33</v>
      </c>
      <c r="J65">
        <v>17</v>
      </c>
      <c r="K65" t="s">
        <v>42</v>
      </c>
      <c r="L65" t="s">
        <v>43</v>
      </c>
      <c r="M65" s="8">
        <v>339.98</v>
      </c>
      <c r="N65" s="6">
        <v>3</v>
      </c>
      <c r="O65" s="8">
        <f t="shared" si="2"/>
        <v>1019.94</v>
      </c>
      <c r="P65" t="s">
        <v>219</v>
      </c>
    </row>
    <row r="66" spans="1:16" x14ac:dyDescent="0.3">
      <c r="A66" s="6">
        <v>65</v>
      </c>
      <c r="B66" s="37">
        <v>45669</v>
      </c>
      <c r="C66" s="2" t="str">
        <f t="shared" ref="C66:C129" si="6">TEXT(B66,"mmm")</f>
        <v>Jan</v>
      </c>
      <c r="D66" s="6">
        <f t="shared" ref="D66:D129" si="7">YEAR(B66)</f>
        <v>2025</v>
      </c>
      <c r="E66" s="6">
        <v>81</v>
      </c>
      <c r="F66" s="4" t="s">
        <v>147</v>
      </c>
      <c r="G66" s="6">
        <v>56</v>
      </c>
      <c r="H66" t="s">
        <v>52</v>
      </c>
      <c r="I66" t="s">
        <v>53</v>
      </c>
      <c r="J66">
        <v>5</v>
      </c>
      <c r="K66" t="s">
        <v>82</v>
      </c>
      <c r="L66" t="s">
        <v>29</v>
      </c>
      <c r="M66" s="8">
        <v>691.29</v>
      </c>
      <c r="N66" s="6">
        <v>2</v>
      </c>
      <c r="O66" s="8">
        <f t="shared" ref="O66:O129" si="8">M66*N66</f>
        <v>1382.58</v>
      </c>
      <c r="P66" t="s">
        <v>221</v>
      </c>
    </row>
    <row r="67" spans="1:16" x14ac:dyDescent="0.3">
      <c r="A67" s="6">
        <v>66</v>
      </c>
      <c r="B67" s="37">
        <v>45912</v>
      </c>
      <c r="C67" s="2" t="str">
        <f t="shared" si="6"/>
        <v>Sept</v>
      </c>
      <c r="D67" s="6">
        <f t="shared" si="7"/>
        <v>2025</v>
      </c>
      <c r="E67" s="6">
        <v>44</v>
      </c>
      <c r="F67" s="4" t="s">
        <v>148</v>
      </c>
      <c r="G67" s="6">
        <v>43</v>
      </c>
      <c r="H67" t="s">
        <v>49</v>
      </c>
      <c r="I67" t="s">
        <v>50</v>
      </c>
      <c r="J67">
        <v>5</v>
      </c>
      <c r="K67" t="s">
        <v>82</v>
      </c>
      <c r="L67" t="s">
        <v>29</v>
      </c>
      <c r="M67" s="8">
        <v>691.29</v>
      </c>
      <c r="N67" s="6">
        <v>5</v>
      </c>
      <c r="O67" s="8">
        <f t="shared" si="8"/>
        <v>3456.45</v>
      </c>
      <c r="P67" t="s">
        <v>219</v>
      </c>
    </row>
    <row r="68" spans="1:16" x14ac:dyDescent="0.3">
      <c r="A68" s="6">
        <v>67</v>
      </c>
      <c r="B68" s="37">
        <v>45409</v>
      </c>
      <c r="C68" s="2" t="str">
        <f t="shared" si="6"/>
        <v>Apr</v>
      </c>
      <c r="D68" s="6">
        <f t="shared" si="7"/>
        <v>2024</v>
      </c>
      <c r="E68" s="6">
        <v>118</v>
      </c>
      <c r="F68" s="4" t="s">
        <v>141</v>
      </c>
      <c r="G68" s="6">
        <v>36</v>
      </c>
      <c r="H68" t="s">
        <v>52</v>
      </c>
      <c r="I68" t="s">
        <v>53</v>
      </c>
      <c r="J68">
        <v>9</v>
      </c>
      <c r="K68" t="s">
        <v>76</v>
      </c>
      <c r="L68" t="s">
        <v>71</v>
      </c>
      <c r="M68" s="8">
        <v>585.21</v>
      </c>
      <c r="N68" s="6">
        <v>2</v>
      </c>
      <c r="O68" s="8">
        <f t="shared" si="8"/>
        <v>1170.42</v>
      </c>
      <c r="P68" t="s">
        <v>222</v>
      </c>
    </row>
    <row r="69" spans="1:16" x14ac:dyDescent="0.3">
      <c r="A69" s="6">
        <v>68</v>
      </c>
      <c r="B69" s="37">
        <v>45610</v>
      </c>
      <c r="C69" s="2" t="str">
        <f t="shared" si="6"/>
        <v>Nov</v>
      </c>
      <c r="D69" s="6">
        <f t="shared" si="7"/>
        <v>2024</v>
      </c>
      <c r="E69" s="6">
        <v>32</v>
      </c>
      <c r="F69" s="4" t="s">
        <v>116</v>
      </c>
      <c r="G69" s="6">
        <v>45</v>
      </c>
      <c r="H69" t="s">
        <v>16</v>
      </c>
      <c r="I69" t="s">
        <v>17</v>
      </c>
      <c r="J69">
        <v>11</v>
      </c>
      <c r="K69" t="s">
        <v>55</v>
      </c>
      <c r="L69" t="s">
        <v>38</v>
      </c>
      <c r="M69" s="8">
        <v>234.14</v>
      </c>
      <c r="N69" s="6">
        <v>1</v>
      </c>
      <c r="O69" s="8">
        <f t="shared" si="8"/>
        <v>234.14</v>
      </c>
      <c r="P69" t="s">
        <v>221</v>
      </c>
    </row>
    <row r="70" spans="1:16" x14ac:dyDescent="0.3">
      <c r="A70" s="6">
        <v>69</v>
      </c>
      <c r="B70" s="37">
        <v>45884</v>
      </c>
      <c r="C70" s="2" t="str">
        <f t="shared" si="6"/>
        <v>Aug</v>
      </c>
      <c r="D70" s="6">
        <f t="shared" si="7"/>
        <v>2025</v>
      </c>
      <c r="E70" s="6">
        <v>9</v>
      </c>
      <c r="F70" s="4" t="s">
        <v>126</v>
      </c>
      <c r="G70" s="6">
        <v>42</v>
      </c>
      <c r="H70" t="s">
        <v>16</v>
      </c>
      <c r="I70" t="s">
        <v>17</v>
      </c>
      <c r="J70">
        <v>1</v>
      </c>
      <c r="K70" t="s">
        <v>69</v>
      </c>
      <c r="L70" t="s">
        <v>29</v>
      </c>
      <c r="M70" s="8">
        <v>83.63</v>
      </c>
      <c r="N70" s="6">
        <v>1</v>
      </c>
      <c r="O70" s="8">
        <f t="shared" si="8"/>
        <v>83.63</v>
      </c>
      <c r="P70" t="s">
        <v>221</v>
      </c>
    </row>
    <row r="71" spans="1:16" x14ac:dyDescent="0.3">
      <c r="A71" s="6">
        <v>70</v>
      </c>
      <c r="B71" s="37">
        <v>45611</v>
      </c>
      <c r="C71" s="2" t="str">
        <f t="shared" si="6"/>
        <v>Nov</v>
      </c>
      <c r="D71" s="6">
        <f t="shared" si="7"/>
        <v>2024</v>
      </c>
      <c r="E71" s="6">
        <v>62</v>
      </c>
      <c r="F71" s="4" t="s">
        <v>149</v>
      </c>
      <c r="G71" s="6">
        <v>18</v>
      </c>
      <c r="H71" t="s">
        <v>32</v>
      </c>
      <c r="I71" t="s">
        <v>33</v>
      </c>
      <c r="J71">
        <v>21</v>
      </c>
      <c r="K71" t="s">
        <v>66</v>
      </c>
      <c r="L71" t="s">
        <v>19</v>
      </c>
      <c r="M71" s="8">
        <v>842.75</v>
      </c>
      <c r="N71" s="6">
        <v>5</v>
      </c>
      <c r="O71" s="8">
        <f t="shared" si="8"/>
        <v>4213.75</v>
      </c>
      <c r="P71" t="s">
        <v>221</v>
      </c>
    </row>
    <row r="72" spans="1:16" x14ac:dyDescent="0.3">
      <c r="A72" s="6">
        <v>71</v>
      </c>
      <c r="B72" s="37">
        <v>45985</v>
      </c>
      <c r="C72" s="2" t="str">
        <f t="shared" si="6"/>
        <v>Nov</v>
      </c>
      <c r="D72" s="6">
        <f t="shared" si="7"/>
        <v>2025</v>
      </c>
      <c r="E72" s="6">
        <v>37</v>
      </c>
      <c r="F72" s="4" t="s">
        <v>150</v>
      </c>
      <c r="G72" s="6">
        <v>69</v>
      </c>
      <c r="H72" t="s">
        <v>59</v>
      </c>
      <c r="I72" t="s">
        <v>33</v>
      </c>
      <c r="J72">
        <v>5</v>
      </c>
      <c r="K72" t="s">
        <v>82</v>
      </c>
      <c r="L72" t="s">
        <v>29</v>
      </c>
      <c r="M72" s="8">
        <v>691.29</v>
      </c>
      <c r="N72" s="6">
        <v>4</v>
      </c>
      <c r="O72" s="8">
        <f t="shared" si="8"/>
        <v>2765.16</v>
      </c>
      <c r="P72" t="s">
        <v>219</v>
      </c>
    </row>
    <row r="73" spans="1:16" x14ac:dyDescent="0.3">
      <c r="A73" s="6">
        <v>72</v>
      </c>
      <c r="B73" s="37">
        <v>45698</v>
      </c>
      <c r="C73" s="2" t="str">
        <f t="shared" si="6"/>
        <v>Feb</v>
      </c>
      <c r="D73" s="6">
        <f t="shared" si="7"/>
        <v>2025</v>
      </c>
      <c r="E73" s="6">
        <v>110</v>
      </c>
      <c r="F73" s="4" t="s">
        <v>148</v>
      </c>
      <c r="G73" s="6">
        <v>50</v>
      </c>
      <c r="H73" t="s">
        <v>59</v>
      </c>
      <c r="I73" t="s">
        <v>33</v>
      </c>
      <c r="J73">
        <v>13</v>
      </c>
      <c r="K73" t="s">
        <v>40</v>
      </c>
      <c r="L73" t="s">
        <v>38</v>
      </c>
      <c r="M73" s="8">
        <v>1340.6</v>
      </c>
      <c r="N73" s="6">
        <v>6</v>
      </c>
      <c r="O73" s="8">
        <f t="shared" si="8"/>
        <v>8043.5999999999995</v>
      </c>
      <c r="P73" t="s">
        <v>219</v>
      </c>
    </row>
    <row r="74" spans="1:16" x14ac:dyDescent="0.3">
      <c r="A74" s="6">
        <v>73</v>
      </c>
      <c r="B74" s="37">
        <v>45495</v>
      </c>
      <c r="C74" s="2" t="str">
        <f t="shared" si="6"/>
        <v>Jul</v>
      </c>
      <c r="D74" s="6">
        <f t="shared" si="7"/>
        <v>2024</v>
      </c>
      <c r="E74" s="6">
        <v>106</v>
      </c>
      <c r="F74" s="4" t="s">
        <v>151</v>
      </c>
      <c r="G74" s="6">
        <v>30</v>
      </c>
      <c r="H74" t="s">
        <v>59</v>
      </c>
      <c r="I74" t="s">
        <v>33</v>
      </c>
      <c r="J74">
        <v>1</v>
      </c>
      <c r="K74" t="s">
        <v>69</v>
      </c>
      <c r="L74" t="s">
        <v>29</v>
      </c>
      <c r="M74" s="8">
        <v>83.63</v>
      </c>
      <c r="N74" s="6">
        <v>1</v>
      </c>
      <c r="O74" s="8">
        <f t="shared" si="8"/>
        <v>83.63</v>
      </c>
      <c r="P74" t="s">
        <v>220</v>
      </c>
    </row>
    <row r="75" spans="1:16" x14ac:dyDescent="0.3">
      <c r="A75" s="6">
        <v>74</v>
      </c>
      <c r="B75" s="37">
        <v>45898</v>
      </c>
      <c r="C75" s="2" t="str">
        <f t="shared" si="6"/>
        <v>Aug</v>
      </c>
      <c r="D75" s="6">
        <f t="shared" si="7"/>
        <v>2025</v>
      </c>
      <c r="E75" s="6">
        <v>52</v>
      </c>
      <c r="F75" s="4" t="s">
        <v>126</v>
      </c>
      <c r="G75" s="6">
        <v>60</v>
      </c>
      <c r="H75" t="s">
        <v>49</v>
      </c>
      <c r="I75" t="s">
        <v>50</v>
      </c>
      <c r="J75">
        <v>10</v>
      </c>
      <c r="K75" t="s">
        <v>70</v>
      </c>
      <c r="L75" t="s">
        <v>71</v>
      </c>
      <c r="M75" s="8">
        <v>608.48</v>
      </c>
      <c r="N75" s="6">
        <v>6</v>
      </c>
      <c r="O75" s="8">
        <f t="shared" si="8"/>
        <v>3650.88</v>
      </c>
      <c r="P75" t="s">
        <v>219</v>
      </c>
    </row>
    <row r="76" spans="1:16" x14ac:dyDescent="0.3">
      <c r="A76" s="6">
        <v>75</v>
      </c>
      <c r="B76" s="37">
        <v>45934</v>
      </c>
      <c r="C76" s="2" t="str">
        <f t="shared" si="6"/>
        <v>Oct</v>
      </c>
      <c r="D76" s="6">
        <f t="shared" si="7"/>
        <v>2025</v>
      </c>
      <c r="E76" s="6">
        <v>23</v>
      </c>
      <c r="F76" s="4" t="s">
        <v>133</v>
      </c>
      <c r="G76" s="6">
        <v>49</v>
      </c>
      <c r="H76" t="s">
        <v>16</v>
      </c>
      <c r="I76" t="s">
        <v>17</v>
      </c>
      <c r="J76">
        <v>3</v>
      </c>
      <c r="K76" t="s">
        <v>28</v>
      </c>
      <c r="L76" t="s">
        <v>29</v>
      </c>
      <c r="M76" s="8">
        <v>922.74</v>
      </c>
      <c r="N76" s="6">
        <v>2</v>
      </c>
      <c r="O76" s="8">
        <f t="shared" si="8"/>
        <v>1845.48</v>
      </c>
      <c r="P76" t="s">
        <v>221</v>
      </c>
    </row>
    <row r="77" spans="1:16" x14ac:dyDescent="0.3">
      <c r="A77" s="6">
        <v>76</v>
      </c>
      <c r="B77" s="37">
        <v>45396</v>
      </c>
      <c r="C77" s="2" t="str">
        <f t="shared" si="6"/>
        <v>Apr</v>
      </c>
      <c r="D77" s="6">
        <f t="shared" si="7"/>
        <v>2024</v>
      </c>
      <c r="E77" s="6">
        <v>31</v>
      </c>
      <c r="F77" s="4" t="s">
        <v>152</v>
      </c>
      <c r="G77" s="6">
        <v>66</v>
      </c>
      <c r="H77" t="s">
        <v>59</v>
      </c>
      <c r="I77" t="s">
        <v>33</v>
      </c>
      <c r="J77">
        <v>10</v>
      </c>
      <c r="K77" t="s">
        <v>70</v>
      </c>
      <c r="L77" t="s">
        <v>71</v>
      </c>
      <c r="M77" s="8">
        <v>608.48</v>
      </c>
      <c r="N77" s="6">
        <v>6</v>
      </c>
      <c r="O77" s="8">
        <f t="shared" si="8"/>
        <v>3650.88</v>
      </c>
      <c r="P77" t="s">
        <v>222</v>
      </c>
    </row>
    <row r="78" spans="1:16" x14ac:dyDescent="0.3">
      <c r="A78" s="6">
        <v>77</v>
      </c>
      <c r="B78" s="37">
        <v>45600</v>
      </c>
      <c r="C78" s="2" t="str">
        <f t="shared" si="6"/>
        <v>Nov</v>
      </c>
      <c r="D78" s="6">
        <f t="shared" si="7"/>
        <v>2024</v>
      </c>
      <c r="E78" s="6">
        <v>6</v>
      </c>
      <c r="F78" s="4" t="s">
        <v>153</v>
      </c>
      <c r="G78" s="6">
        <v>55</v>
      </c>
      <c r="H78" t="s">
        <v>32</v>
      </c>
      <c r="I78" t="s">
        <v>33</v>
      </c>
      <c r="J78">
        <v>13</v>
      </c>
      <c r="K78" t="s">
        <v>40</v>
      </c>
      <c r="L78" t="s">
        <v>38</v>
      </c>
      <c r="M78" s="8">
        <v>1340.6</v>
      </c>
      <c r="N78" s="6">
        <v>6</v>
      </c>
      <c r="O78" s="8">
        <f t="shared" si="8"/>
        <v>8043.5999999999995</v>
      </c>
      <c r="P78" t="s">
        <v>220</v>
      </c>
    </row>
    <row r="79" spans="1:16" x14ac:dyDescent="0.3">
      <c r="A79" s="6">
        <v>78</v>
      </c>
      <c r="B79" s="37">
        <v>45906</v>
      </c>
      <c r="C79" s="2" t="str">
        <f t="shared" si="6"/>
        <v>Sept</v>
      </c>
      <c r="D79" s="6">
        <f t="shared" si="7"/>
        <v>2025</v>
      </c>
      <c r="E79" s="6">
        <v>82</v>
      </c>
      <c r="F79" s="4" t="s">
        <v>133</v>
      </c>
      <c r="G79" s="6">
        <v>58</v>
      </c>
      <c r="H79" t="s">
        <v>16</v>
      </c>
      <c r="I79" t="s">
        <v>17</v>
      </c>
      <c r="J79">
        <v>26</v>
      </c>
      <c r="K79" t="s">
        <v>54</v>
      </c>
      <c r="L79" t="s">
        <v>25</v>
      </c>
      <c r="M79" s="8">
        <v>803.73</v>
      </c>
      <c r="N79" s="6">
        <v>1</v>
      </c>
      <c r="O79" s="8">
        <f t="shared" si="8"/>
        <v>803.73</v>
      </c>
      <c r="P79" t="s">
        <v>221</v>
      </c>
    </row>
    <row r="80" spans="1:16" x14ac:dyDescent="0.3">
      <c r="A80" s="6">
        <v>79</v>
      </c>
      <c r="B80" s="37">
        <v>45871</v>
      </c>
      <c r="C80" s="2" t="str">
        <f t="shared" si="6"/>
        <v>Aug</v>
      </c>
      <c r="D80" s="6">
        <f t="shared" si="7"/>
        <v>2025</v>
      </c>
      <c r="E80" s="6">
        <v>48</v>
      </c>
      <c r="F80" s="4" t="s">
        <v>114</v>
      </c>
      <c r="G80" s="6">
        <v>20</v>
      </c>
      <c r="H80" t="s">
        <v>32</v>
      </c>
      <c r="I80" t="s">
        <v>33</v>
      </c>
      <c r="J80">
        <v>13</v>
      </c>
      <c r="K80" t="s">
        <v>40</v>
      </c>
      <c r="L80" t="s">
        <v>38</v>
      </c>
      <c r="M80" s="8">
        <v>1340.6</v>
      </c>
      <c r="N80" s="6">
        <v>1</v>
      </c>
      <c r="O80" s="8">
        <f t="shared" si="8"/>
        <v>1340.6</v>
      </c>
      <c r="P80" t="s">
        <v>220</v>
      </c>
    </row>
    <row r="81" spans="1:16" x14ac:dyDescent="0.3">
      <c r="A81" s="6">
        <v>80</v>
      </c>
      <c r="B81" s="37">
        <v>45647</v>
      </c>
      <c r="C81" s="2" t="str">
        <f t="shared" si="6"/>
        <v>Dec</v>
      </c>
      <c r="D81" s="6">
        <f t="shared" si="7"/>
        <v>2024</v>
      </c>
      <c r="E81" s="6">
        <v>113</v>
      </c>
      <c r="F81" s="4" t="s">
        <v>111</v>
      </c>
      <c r="G81" s="6">
        <v>29</v>
      </c>
      <c r="H81" t="s">
        <v>32</v>
      </c>
      <c r="I81" t="s">
        <v>33</v>
      </c>
      <c r="J81">
        <v>30</v>
      </c>
      <c r="K81" t="s">
        <v>73</v>
      </c>
      <c r="L81" t="s">
        <v>25</v>
      </c>
      <c r="M81" s="8">
        <v>672.22</v>
      </c>
      <c r="N81" s="6">
        <v>5</v>
      </c>
      <c r="O81" s="8">
        <f t="shared" si="8"/>
        <v>3361.1000000000004</v>
      </c>
      <c r="P81" t="s">
        <v>220</v>
      </c>
    </row>
    <row r="82" spans="1:16" x14ac:dyDescent="0.3">
      <c r="A82" s="6">
        <v>81</v>
      </c>
      <c r="B82" s="37">
        <v>45730</v>
      </c>
      <c r="C82" s="2" t="str">
        <f t="shared" si="6"/>
        <v>Mar</v>
      </c>
      <c r="D82" s="6">
        <f t="shared" si="7"/>
        <v>2025</v>
      </c>
      <c r="E82" s="6">
        <v>99</v>
      </c>
      <c r="F82" s="4" t="s">
        <v>154</v>
      </c>
      <c r="G82" s="6">
        <v>40</v>
      </c>
      <c r="H82" t="s">
        <v>49</v>
      </c>
      <c r="I82" t="s">
        <v>50</v>
      </c>
      <c r="J82">
        <v>24</v>
      </c>
      <c r="K82" t="s">
        <v>45</v>
      </c>
      <c r="L82" t="s">
        <v>19</v>
      </c>
      <c r="M82" s="8">
        <v>213.01</v>
      </c>
      <c r="N82" s="6">
        <v>6</v>
      </c>
      <c r="O82" s="8">
        <f t="shared" si="8"/>
        <v>1278.06</v>
      </c>
      <c r="P82" t="s">
        <v>219</v>
      </c>
    </row>
    <row r="83" spans="1:16" x14ac:dyDescent="0.3">
      <c r="A83" s="6">
        <v>82</v>
      </c>
      <c r="B83" s="37">
        <v>45671</v>
      </c>
      <c r="C83" s="2" t="str">
        <f t="shared" si="6"/>
        <v>Jan</v>
      </c>
      <c r="D83" s="6">
        <f t="shared" si="7"/>
        <v>2025</v>
      </c>
      <c r="E83" s="6">
        <v>3</v>
      </c>
      <c r="F83" s="4" t="s">
        <v>155</v>
      </c>
      <c r="G83" s="6">
        <v>20</v>
      </c>
      <c r="H83" t="s">
        <v>59</v>
      </c>
      <c r="I83" t="s">
        <v>33</v>
      </c>
      <c r="J83">
        <v>9</v>
      </c>
      <c r="K83" t="s">
        <v>76</v>
      </c>
      <c r="L83" t="s">
        <v>71</v>
      </c>
      <c r="M83" s="8">
        <v>585.21</v>
      </c>
      <c r="N83" s="6">
        <v>1</v>
      </c>
      <c r="O83" s="8">
        <f t="shared" si="8"/>
        <v>585.21</v>
      </c>
      <c r="P83" t="s">
        <v>220</v>
      </c>
    </row>
    <row r="84" spans="1:16" x14ac:dyDescent="0.3">
      <c r="A84" s="6">
        <v>83</v>
      </c>
      <c r="B84" s="37">
        <v>45810</v>
      </c>
      <c r="C84" s="2" t="str">
        <f t="shared" si="6"/>
        <v>Jun</v>
      </c>
      <c r="D84" s="6">
        <f t="shared" si="7"/>
        <v>2025</v>
      </c>
      <c r="E84" s="6">
        <v>45</v>
      </c>
      <c r="F84" s="4" t="s">
        <v>132</v>
      </c>
      <c r="G84" s="6">
        <v>46</v>
      </c>
      <c r="H84" t="s">
        <v>16</v>
      </c>
      <c r="I84" t="s">
        <v>17</v>
      </c>
      <c r="J84">
        <v>23</v>
      </c>
      <c r="K84" t="s">
        <v>18</v>
      </c>
      <c r="L84" t="s">
        <v>19</v>
      </c>
      <c r="M84" s="8">
        <v>195.22</v>
      </c>
      <c r="N84" s="6">
        <v>6</v>
      </c>
      <c r="O84" s="8">
        <f t="shared" si="8"/>
        <v>1171.32</v>
      </c>
      <c r="P84" t="s">
        <v>219</v>
      </c>
    </row>
    <row r="85" spans="1:16" x14ac:dyDescent="0.3">
      <c r="A85" s="6">
        <v>84</v>
      </c>
      <c r="B85" s="37">
        <v>45641</v>
      </c>
      <c r="C85" s="2" t="str">
        <f t="shared" si="6"/>
        <v>Dec</v>
      </c>
      <c r="D85" s="6">
        <f t="shared" si="7"/>
        <v>2024</v>
      </c>
      <c r="E85" s="6">
        <v>71</v>
      </c>
      <c r="F85" s="4" t="s">
        <v>138</v>
      </c>
      <c r="G85" s="6">
        <v>31</v>
      </c>
      <c r="H85" t="s">
        <v>16</v>
      </c>
      <c r="I85" t="s">
        <v>17</v>
      </c>
      <c r="J85">
        <v>12</v>
      </c>
      <c r="K85" t="s">
        <v>37</v>
      </c>
      <c r="L85" t="s">
        <v>38</v>
      </c>
      <c r="M85" s="8">
        <v>1036.1199999999999</v>
      </c>
      <c r="N85" s="6">
        <v>1</v>
      </c>
      <c r="O85" s="8">
        <f t="shared" si="8"/>
        <v>1036.1199999999999</v>
      </c>
      <c r="P85" t="s">
        <v>222</v>
      </c>
    </row>
    <row r="86" spans="1:16" x14ac:dyDescent="0.3">
      <c r="A86" s="6">
        <v>85</v>
      </c>
      <c r="B86" s="37">
        <v>45722</v>
      </c>
      <c r="C86" s="2" t="str">
        <f t="shared" si="6"/>
        <v>Mar</v>
      </c>
      <c r="D86" s="6">
        <f t="shared" si="7"/>
        <v>2025</v>
      </c>
      <c r="E86" s="6">
        <v>110</v>
      </c>
      <c r="F86" s="4" t="s">
        <v>148</v>
      </c>
      <c r="G86" s="6">
        <v>50</v>
      </c>
      <c r="H86" t="s">
        <v>59</v>
      </c>
      <c r="I86" t="s">
        <v>33</v>
      </c>
      <c r="J86">
        <v>18</v>
      </c>
      <c r="K86" t="s">
        <v>68</v>
      </c>
      <c r="L86" t="s">
        <v>43</v>
      </c>
      <c r="M86" s="8">
        <v>1209.0999999999999</v>
      </c>
      <c r="N86" s="6">
        <v>4</v>
      </c>
      <c r="O86" s="8">
        <f t="shared" si="8"/>
        <v>4836.3999999999996</v>
      </c>
      <c r="P86" t="s">
        <v>220</v>
      </c>
    </row>
    <row r="87" spans="1:16" x14ac:dyDescent="0.3">
      <c r="A87" s="6">
        <v>86</v>
      </c>
      <c r="B87" s="37">
        <v>45400</v>
      </c>
      <c r="C87" s="2" t="str">
        <f t="shared" si="6"/>
        <v>Apr</v>
      </c>
      <c r="D87" s="6">
        <f t="shared" si="7"/>
        <v>2024</v>
      </c>
      <c r="E87" s="6">
        <v>2</v>
      </c>
      <c r="F87" s="4" t="s">
        <v>128</v>
      </c>
      <c r="G87" s="6">
        <v>24</v>
      </c>
      <c r="H87" t="s">
        <v>49</v>
      </c>
      <c r="I87" t="s">
        <v>50</v>
      </c>
      <c r="J87">
        <v>20</v>
      </c>
      <c r="K87" t="s">
        <v>58</v>
      </c>
      <c r="L87" t="s">
        <v>43</v>
      </c>
      <c r="M87" s="8">
        <v>704.86</v>
      </c>
      <c r="N87" s="6">
        <v>4</v>
      </c>
      <c r="O87" s="8">
        <f t="shared" si="8"/>
        <v>2819.44</v>
      </c>
      <c r="P87" t="s">
        <v>221</v>
      </c>
    </row>
    <row r="88" spans="1:16" x14ac:dyDescent="0.3">
      <c r="A88" s="6">
        <v>87</v>
      </c>
      <c r="B88" s="37">
        <v>45662</v>
      </c>
      <c r="C88" s="2" t="str">
        <f t="shared" si="6"/>
        <v>Jan</v>
      </c>
      <c r="D88" s="6">
        <f t="shared" si="7"/>
        <v>2025</v>
      </c>
      <c r="E88" s="6">
        <v>59</v>
      </c>
      <c r="F88" s="4" t="s">
        <v>156</v>
      </c>
      <c r="G88" s="6">
        <v>52</v>
      </c>
      <c r="H88" t="s">
        <v>59</v>
      </c>
      <c r="I88" t="s">
        <v>33</v>
      </c>
      <c r="J88">
        <v>26</v>
      </c>
      <c r="K88" t="s">
        <v>54</v>
      </c>
      <c r="L88" t="s">
        <v>25</v>
      </c>
      <c r="M88" s="8">
        <v>803.73</v>
      </c>
      <c r="N88" s="6">
        <v>6</v>
      </c>
      <c r="O88" s="8">
        <f t="shared" si="8"/>
        <v>4822.38</v>
      </c>
      <c r="P88" t="s">
        <v>221</v>
      </c>
    </row>
    <row r="89" spans="1:16" x14ac:dyDescent="0.3">
      <c r="A89" s="6">
        <v>88</v>
      </c>
      <c r="B89" s="37">
        <v>45762</v>
      </c>
      <c r="C89" s="2" t="str">
        <f t="shared" si="6"/>
        <v>Apr</v>
      </c>
      <c r="D89" s="6">
        <f t="shared" si="7"/>
        <v>2025</v>
      </c>
      <c r="E89" s="6">
        <v>59</v>
      </c>
      <c r="F89" s="4" t="s">
        <v>156</v>
      </c>
      <c r="G89" s="6">
        <v>52</v>
      </c>
      <c r="H89" t="s">
        <v>59</v>
      </c>
      <c r="I89" t="s">
        <v>33</v>
      </c>
      <c r="J89">
        <v>20</v>
      </c>
      <c r="K89" t="s">
        <v>58</v>
      </c>
      <c r="L89" t="s">
        <v>43</v>
      </c>
      <c r="M89" s="8">
        <v>704.86</v>
      </c>
      <c r="N89" s="6">
        <v>6</v>
      </c>
      <c r="O89" s="8">
        <f t="shared" si="8"/>
        <v>4229.16</v>
      </c>
      <c r="P89" t="s">
        <v>222</v>
      </c>
    </row>
    <row r="90" spans="1:16" x14ac:dyDescent="0.3">
      <c r="A90" s="6">
        <v>89</v>
      </c>
      <c r="B90" s="37">
        <v>45448</v>
      </c>
      <c r="C90" s="2" t="str">
        <f t="shared" si="6"/>
        <v>Jun</v>
      </c>
      <c r="D90" s="6">
        <f t="shared" si="7"/>
        <v>2024</v>
      </c>
      <c r="E90" s="6">
        <v>15</v>
      </c>
      <c r="F90" s="4" t="s">
        <v>157</v>
      </c>
      <c r="G90" s="6">
        <v>24</v>
      </c>
      <c r="H90" t="s">
        <v>59</v>
      </c>
      <c r="I90" t="s">
        <v>33</v>
      </c>
      <c r="J90">
        <v>3</v>
      </c>
      <c r="K90" t="s">
        <v>28</v>
      </c>
      <c r="L90" t="s">
        <v>29</v>
      </c>
      <c r="M90" s="8">
        <v>922.74</v>
      </c>
      <c r="N90" s="6">
        <v>4</v>
      </c>
      <c r="O90" s="8">
        <f t="shared" si="8"/>
        <v>3690.96</v>
      </c>
      <c r="P90" t="s">
        <v>219</v>
      </c>
    </row>
    <row r="91" spans="1:16" x14ac:dyDescent="0.3">
      <c r="A91" s="6">
        <v>90</v>
      </c>
      <c r="B91" s="37">
        <v>45472</v>
      </c>
      <c r="C91" s="2" t="str">
        <f t="shared" si="6"/>
        <v>Jun</v>
      </c>
      <c r="D91" s="6">
        <f t="shared" si="7"/>
        <v>2024</v>
      </c>
      <c r="E91" s="6">
        <v>65</v>
      </c>
      <c r="F91" s="4" t="s">
        <v>158</v>
      </c>
      <c r="G91" s="6">
        <v>52</v>
      </c>
      <c r="H91" t="s">
        <v>32</v>
      </c>
      <c r="I91" t="s">
        <v>33</v>
      </c>
      <c r="J91">
        <v>18</v>
      </c>
      <c r="K91" t="s">
        <v>68</v>
      </c>
      <c r="L91" t="s">
        <v>43</v>
      </c>
      <c r="M91" s="8">
        <v>1209.0999999999999</v>
      </c>
      <c r="N91" s="6">
        <v>6</v>
      </c>
      <c r="O91" s="8">
        <f t="shared" si="8"/>
        <v>7254.5999999999995</v>
      </c>
      <c r="P91" t="s">
        <v>222</v>
      </c>
    </row>
    <row r="92" spans="1:16" x14ac:dyDescent="0.3">
      <c r="A92" s="6">
        <v>91</v>
      </c>
      <c r="B92" s="37">
        <v>45826</v>
      </c>
      <c r="C92" s="2" t="str">
        <f t="shared" si="6"/>
        <v>Jun</v>
      </c>
      <c r="D92" s="6">
        <f t="shared" si="7"/>
        <v>2025</v>
      </c>
      <c r="E92" s="6">
        <v>109</v>
      </c>
      <c r="F92" s="4" t="s">
        <v>144</v>
      </c>
      <c r="G92" s="6">
        <v>60</v>
      </c>
      <c r="H92" t="s">
        <v>16</v>
      </c>
      <c r="I92" t="s">
        <v>17</v>
      </c>
      <c r="J92">
        <v>23</v>
      </c>
      <c r="K92" t="s">
        <v>18</v>
      </c>
      <c r="L92" t="s">
        <v>19</v>
      </c>
      <c r="M92" s="8">
        <v>195.22</v>
      </c>
      <c r="N92" s="6">
        <v>6</v>
      </c>
      <c r="O92" s="8">
        <f t="shared" si="8"/>
        <v>1171.32</v>
      </c>
      <c r="P92" t="s">
        <v>219</v>
      </c>
    </row>
    <row r="93" spans="1:16" x14ac:dyDescent="0.3">
      <c r="A93" s="6">
        <v>92</v>
      </c>
      <c r="B93" s="37">
        <v>45568</v>
      </c>
      <c r="C93" s="2" t="str">
        <f t="shared" si="6"/>
        <v>Oct</v>
      </c>
      <c r="D93" s="6">
        <f t="shared" si="7"/>
        <v>2024</v>
      </c>
      <c r="E93" s="6">
        <v>41</v>
      </c>
      <c r="F93" s="4" t="s">
        <v>159</v>
      </c>
      <c r="G93" s="6">
        <v>53</v>
      </c>
      <c r="H93" t="s">
        <v>52</v>
      </c>
      <c r="I93" t="s">
        <v>53</v>
      </c>
      <c r="J93">
        <v>28</v>
      </c>
      <c r="K93" t="s">
        <v>77</v>
      </c>
      <c r="L93" t="s">
        <v>25</v>
      </c>
      <c r="M93" s="8">
        <v>486.19</v>
      </c>
      <c r="N93" s="6">
        <v>5</v>
      </c>
      <c r="O93" s="8">
        <f t="shared" si="8"/>
        <v>2430.9499999999998</v>
      </c>
      <c r="P93" t="s">
        <v>220</v>
      </c>
    </row>
    <row r="94" spans="1:16" x14ac:dyDescent="0.3">
      <c r="A94" s="6">
        <v>93</v>
      </c>
      <c r="B94" s="37">
        <v>45843</v>
      </c>
      <c r="C94" s="2" t="str">
        <f t="shared" si="6"/>
        <v>Jul</v>
      </c>
      <c r="D94" s="6">
        <f t="shared" si="7"/>
        <v>2025</v>
      </c>
      <c r="E94" s="6">
        <v>68</v>
      </c>
      <c r="F94" s="4" t="s">
        <v>142</v>
      </c>
      <c r="G94" s="6">
        <v>22</v>
      </c>
      <c r="H94" t="s">
        <v>52</v>
      </c>
      <c r="I94" t="s">
        <v>53</v>
      </c>
      <c r="J94">
        <v>30</v>
      </c>
      <c r="K94" t="s">
        <v>73</v>
      </c>
      <c r="L94" t="s">
        <v>25</v>
      </c>
      <c r="M94" s="8">
        <v>672.22</v>
      </c>
      <c r="N94" s="6">
        <v>4</v>
      </c>
      <c r="O94" s="8">
        <f t="shared" si="8"/>
        <v>2688.88</v>
      </c>
      <c r="P94" t="s">
        <v>222</v>
      </c>
    </row>
    <row r="95" spans="1:16" x14ac:dyDescent="0.3">
      <c r="A95" s="6">
        <v>94</v>
      </c>
      <c r="B95" s="37">
        <v>45768</v>
      </c>
      <c r="C95" s="2" t="str">
        <f t="shared" si="6"/>
        <v>Apr</v>
      </c>
      <c r="D95" s="6">
        <f t="shared" si="7"/>
        <v>2025</v>
      </c>
      <c r="E95" s="6">
        <v>18</v>
      </c>
      <c r="F95" s="4" t="s">
        <v>181</v>
      </c>
      <c r="G95" s="6">
        <v>28</v>
      </c>
      <c r="H95" t="s">
        <v>59</v>
      </c>
      <c r="I95" t="s">
        <v>33</v>
      </c>
      <c r="J95">
        <v>12</v>
      </c>
      <c r="K95" t="s">
        <v>37</v>
      </c>
      <c r="L95" t="s">
        <v>38</v>
      </c>
      <c r="M95" s="8">
        <v>1036.1199999999999</v>
      </c>
      <c r="N95" s="6">
        <v>4</v>
      </c>
      <c r="O95" s="8">
        <f t="shared" si="8"/>
        <v>4144.4799999999996</v>
      </c>
      <c r="P95" t="s">
        <v>221</v>
      </c>
    </row>
    <row r="96" spans="1:16" x14ac:dyDescent="0.3">
      <c r="A96" s="6">
        <v>95</v>
      </c>
      <c r="B96" s="37">
        <v>45898</v>
      </c>
      <c r="C96" s="2" t="str">
        <f t="shared" si="6"/>
        <v>Aug</v>
      </c>
      <c r="D96" s="6">
        <f t="shared" si="7"/>
        <v>2025</v>
      </c>
      <c r="E96" s="6">
        <v>101</v>
      </c>
      <c r="F96" s="4" t="s">
        <v>160</v>
      </c>
      <c r="G96" s="6">
        <v>22</v>
      </c>
      <c r="H96" t="s">
        <v>32</v>
      </c>
      <c r="I96" t="s">
        <v>33</v>
      </c>
      <c r="J96">
        <v>14</v>
      </c>
      <c r="K96" t="s">
        <v>81</v>
      </c>
      <c r="L96" t="s">
        <v>38</v>
      </c>
      <c r="M96" s="8">
        <v>1292.75</v>
      </c>
      <c r="N96" s="6">
        <v>3</v>
      </c>
      <c r="O96" s="8">
        <f t="shared" si="8"/>
        <v>3878.25</v>
      </c>
      <c r="P96" t="s">
        <v>219</v>
      </c>
    </row>
    <row r="97" spans="1:16" x14ac:dyDescent="0.3">
      <c r="A97" s="6">
        <v>96</v>
      </c>
      <c r="B97" s="37">
        <v>45622</v>
      </c>
      <c r="C97" s="2" t="str">
        <f t="shared" si="6"/>
        <v>Nov</v>
      </c>
      <c r="D97" s="6">
        <f t="shared" si="7"/>
        <v>2024</v>
      </c>
      <c r="E97" s="6">
        <v>33</v>
      </c>
      <c r="F97" s="4" t="s">
        <v>140</v>
      </c>
      <c r="G97" s="6">
        <v>64</v>
      </c>
      <c r="H97" t="s">
        <v>52</v>
      </c>
      <c r="I97" t="s">
        <v>53</v>
      </c>
      <c r="J97">
        <v>28</v>
      </c>
      <c r="K97" t="s">
        <v>77</v>
      </c>
      <c r="L97" t="s">
        <v>25</v>
      </c>
      <c r="M97" s="8">
        <v>486.19</v>
      </c>
      <c r="N97" s="6">
        <v>2</v>
      </c>
      <c r="O97" s="8">
        <f t="shared" si="8"/>
        <v>972.38</v>
      </c>
      <c r="P97" t="s">
        <v>220</v>
      </c>
    </row>
    <row r="98" spans="1:16" x14ac:dyDescent="0.3">
      <c r="A98" s="6">
        <v>97</v>
      </c>
      <c r="B98" s="37">
        <v>45380</v>
      </c>
      <c r="C98" s="2" t="str">
        <f t="shared" si="6"/>
        <v>Mar</v>
      </c>
      <c r="D98" s="6">
        <f t="shared" si="7"/>
        <v>2024</v>
      </c>
      <c r="E98" s="6">
        <v>99</v>
      </c>
      <c r="F98" s="4" t="s">
        <v>154</v>
      </c>
      <c r="G98" s="6">
        <v>40</v>
      </c>
      <c r="H98" t="s">
        <v>49</v>
      </c>
      <c r="I98" t="s">
        <v>50</v>
      </c>
      <c r="J98">
        <v>24</v>
      </c>
      <c r="K98" t="s">
        <v>45</v>
      </c>
      <c r="L98" t="s">
        <v>19</v>
      </c>
      <c r="M98" s="8">
        <v>213.01</v>
      </c>
      <c r="N98" s="6">
        <v>3</v>
      </c>
      <c r="O98" s="8">
        <f t="shared" si="8"/>
        <v>639.03</v>
      </c>
      <c r="P98" t="s">
        <v>219</v>
      </c>
    </row>
    <row r="99" spans="1:16" x14ac:dyDescent="0.3">
      <c r="A99" s="6">
        <v>98</v>
      </c>
      <c r="B99" s="37">
        <v>45753</v>
      </c>
      <c r="C99" s="2" t="str">
        <f t="shared" si="6"/>
        <v>Apr</v>
      </c>
      <c r="D99" s="6">
        <f t="shared" si="7"/>
        <v>2025</v>
      </c>
      <c r="E99" s="6">
        <v>115</v>
      </c>
      <c r="F99" s="4" t="s">
        <v>161</v>
      </c>
      <c r="G99" s="6">
        <v>68</v>
      </c>
      <c r="H99" t="s">
        <v>22</v>
      </c>
      <c r="I99" t="s">
        <v>23</v>
      </c>
      <c r="J99">
        <v>20</v>
      </c>
      <c r="K99" t="s">
        <v>58</v>
      </c>
      <c r="L99" t="s">
        <v>43</v>
      </c>
      <c r="M99" s="8">
        <v>704.86</v>
      </c>
      <c r="N99" s="6">
        <v>2</v>
      </c>
      <c r="O99" s="8">
        <f t="shared" si="8"/>
        <v>1409.72</v>
      </c>
      <c r="P99" t="s">
        <v>220</v>
      </c>
    </row>
    <row r="100" spans="1:16" x14ac:dyDescent="0.3">
      <c r="A100" s="6">
        <v>99</v>
      </c>
      <c r="B100" s="37">
        <v>45767</v>
      </c>
      <c r="C100" s="2" t="str">
        <f t="shared" si="6"/>
        <v>Apr</v>
      </c>
      <c r="D100" s="6">
        <f t="shared" si="7"/>
        <v>2025</v>
      </c>
      <c r="E100" s="6">
        <v>55</v>
      </c>
      <c r="F100" s="4" t="s">
        <v>121</v>
      </c>
      <c r="G100" s="6">
        <v>39</v>
      </c>
      <c r="H100" t="s">
        <v>32</v>
      </c>
      <c r="I100" t="s">
        <v>33</v>
      </c>
      <c r="J100">
        <v>19</v>
      </c>
      <c r="K100" t="s">
        <v>84</v>
      </c>
      <c r="L100" t="s">
        <v>43</v>
      </c>
      <c r="M100" s="8">
        <v>1048.43</v>
      </c>
      <c r="N100" s="6">
        <v>5</v>
      </c>
      <c r="O100" s="8">
        <f t="shared" si="8"/>
        <v>5242.1500000000005</v>
      </c>
      <c r="P100" t="s">
        <v>221</v>
      </c>
    </row>
    <row r="101" spans="1:16" x14ac:dyDescent="0.3">
      <c r="A101" s="6">
        <v>100</v>
      </c>
      <c r="B101" s="37">
        <v>45916</v>
      </c>
      <c r="C101" s="2" t="str">
        <f t="shared" si="6"/>
        <v>Sept</v>
      </c>
      <c r="D101" s="6">
        <f t="shared" si="7"/>
        <v>2025</v>
      </c>
      <c r="E101" s="6">
        <v>70</v>
      </c>
      <c r="F101" s="4" t="s">
        <v>162</v>
      </c>
      <c r="G101" s="6">
        <v>44</v>
      </c>
      <c r="H101" t="s">
        <v>32</v>
      </c>
      <c r="I101" t="s">
        <v>33</v>
      </c>
      <c r="J101">
        <v>30</v>
      </c>
      <c r="K101" t="s">
        <v>73</v>
      </c>
      <c r="L101" t="s">
        <v>25</v>
      </c>
      <c r="M101" s="8">
        <v>672.22</v>
      </c>
      <c r="N101" s="6">
        <v>6</v>
      </c>
      <c r="O101" s="8">
        <f t="shared" si="8"/>
        <v>4033.32</v>
      </c>
      <c r="P101" t="s">
        <v>219</v>
      </c>
    </row>
    <row r="102" spans="1:16" x14ac:dyDescent="0.3">
      <c r="A102" s="6">
        <v>101</v>
      </c>
      <c r="B102" s="37">
        <v>45680</v>
      </c>
      <c r="C102" s="2" t="str">
        <f t="shared" si="6"/>
        <v>Jan</v>
      </c>
      <c r="D102" s="6">
        <f t="shared" si="7"/>
        <v>2025</v>
      </c>
      <c r="E102" s="6">
        <v>14</v>
      </c>
      <c r="F102" s="4" t="s">
        <v>108</v>
      </c>
      <c r="G102" s="6">
        <v>67</v>
      </c>
      <c r="H102" t="s">
        <v>32</v>
      </c>
      <c r="I102" t="s">
        <v>33</v>
      </c>
      <c r="J102">
        <v>10</v>
      </c>
      <c r="K102" t="s">
        <v>70</v>
      </c>
      <c r="L102" t="s">
        <v>71</v>
      </c>
      <c r="M102" s="8">
        <v>608.48</v>
      </c>
      <c r="N102" s="6">
        <v>3</v>
      </c>
      <c r="O102" s="8">
        <f t="shared" si="8"/>
        <v>1825.44</v>
      </c>
      <c r="P102" t="s">
        <v>220</v>
      </c>
    </row>
    <row r="103" spans="1:16" x14ac:dyDescent="0.3">
      <c r="A103" s="6">
        <v>102</v>
      </c>
      <c r="B103" s="37">
        <v>45321</v>
      </c>
      <c r="C103" s="2" t="str">
        <f t="shared" si="6"/>
        <v>Jan</v>
      </c>
      <c r="D103" s="6">
        <f t="shared" si="7"/>
        <v>2024</v>
      </c>
      <c r="E103" s="6">
        <v>12</v>
      </c>
      <c r="F103" s="4" t="s">
        <v>119</v>
      </c>
      <c r="G103" s="6">
        <v>36</v>
      </c>
      <c r="H103" t="s">
        <v>32</v>
      </c>
      <c r="I103" t="s">
        <v>33</v>
      </c>
      <c r="J103">
        <v>10</v>
      </c>
      <c r="K103" t="s">
        <v>70</v>
      </c>
      <c r="L103" t="s">
        <v>71</v>
      </c>
      <c r="M103" s="8">
        <v>608.48</v>
      </c>
      <c r="N103" s="6">
        <v>4</v>
      </c>
      <c r="O103" s="8">
        <f t="shared" si="8"/>
        <v>2433.92</v>
      </c>
      <c r="P103" t="s">
        <v>219</v>
      </c>
    </row>
    <row r="104" spans="1:16" x14ac:dyDescent="0.3">
      <c r="A104" s="6">
        <v>103</v>
      </c>
      <c r="B104" s="37">
        <v>45624</v>
      </c>
      <c r="C104" s="2" t="str">
        <f t="shared" si="6"/>
        <v>Nov</v>
      </c>
      <c r="D104" s="6">
        <f t="shared" si="7"/>
        <v>2024</v>
      </c>
      <c r="E104" s="6">
        <v>112</v>
      </c>
      <c r="F104" s="4" t="s">
        <v>161</v>
      </c>
      <c r="G104" s="6">
        <v>60</v>
      </c>
      <c r="H104" t="s">
        <v>52</v>
      </c>
      <c r="I104" t="s">
        <v>53</v>
      </c>
      <c r="J104">
        <v>11</v>
      </c>
      <c r="K104" t="s">
        <v>55</v>
      </c>
      <c r="L104" t="s">
        <v>38</v>
      </c>
      <c r="M104" s="8">
        <v>234.14</v>
      </c>
      <c r="N104" s="6">
        <v>2</v>
      </c>
      <c r="O104" s="8">
        <f t="shared" si="8"/>
        <v>468.28</v>
      </c>
      <c r="P104" t="s">
        <v>220</v>
      </c>
    </row>
    <row r="105" spans="1:16" x14ac:dyDescent="0.3">
      <c r="A105" s="6">
        <v>104</v>
      </c>
      <c r="B105" s="37">
        <v>45791</v>
      </c>
      <c r="C105" s="2" t="str">
        <f t="shared" si="6"/>
        <v>May</v>
      </c>
      <c r="D105" s="6">
        <f t="shared" si="7"/>
        <v>2025</v>
      </c>
      <c r="E105" s="6">
        <v>42</v>
      </c>
      <c r="F105" s="4" t="s">
        <v>106</v>
      </c>
      <c r="G105" s="6">
        <v>45</v>
      </c>
      <c r="H105" t="s">
        <v>22</v>
      </c>
      <c r="I105" t="s">
        <v>23</v>
      </c>
      <c r="J105">
        <v>18</v>
      </c>
      <c r="K105" t="s">
        <v>68</v>
      </c>
      <c r="L105" t="s">
        <v>43</v>
      </c>
      <c r="M105" s="8">
        <v>1209.0999999999999</v>
      </c>
      <c r="N105" s="6">
        <v>2</v>
      </c>
      <c r="O105" s="8">
        <f t="shared" si="8"/>
        <v>2418.1999999999998</v>
      </c>
      <c r="P105" t="s">
        <v>219</v>
      </c>
    </row>
    <row r="106" spans="1:16" x14ac:dyDescent="0.3">
      <c r="A106" s="6">
        <v>105</v>
      </c>
      <c r="B106" s="37">
        <v>45655</v>
      </c>
      <c r="C106" s="2" t="str">
        <f t="shared" si="6"/>
        <v>Dec</v>
      </c>
      <c r="D106" s="6">
        <f t="shared" si="7"/>
        <v>2024</v>
      </c>
      <c r="E106" s="6">
        <v>111</v>
      </c>
      <c r="F106" s="4" t="s">
        <v>139</v>
      </c>
      <c r="G106" s="6">
        <v>62</v>
      </c>
      <c r="H106" t="s">
        <v>32</v>
      </c>
      <c r="I106" t="s">
        <v>33</v>
      </c>
      <c r="J106">
        <v>30</v>
      </c>
      <c r="K106" t="s">
        <v>73</v>
      </c>
      <c r="L106" t="s">
        <v>25</v>
      </c>
      <c r="M106" s="8">
        <v>672.22</v>
      </c>
      <c r="N106" s="6">
        <v>3</v>
      </c>
      <c r="O106" s="8">
        <f t="shared" si="8"/>
        <v>2016.66</v>
      </c>
      <c r="P106" t="s">
        <v>219</v>
      </c>
    </row>
    <row r="107" spans="1:16" x14ac:dyDescent="0.3">
      <c r="A107" s="6">
        <v>106</v>
      </c>
      <c r="B107" s="37">
        <v>45640</v>
      </c>
      <c r="C107" s="2" t="str">
        <f t="shared" si="6"/>
        <v>Dec</v>
      </c>
      <c r="D107" s="6">
        <f t="shared" si="7"/>
        <v>2024</v>
      </c>
      <c r="E107" s="6">
        <v>5</v>
      </c>
      <c r="F107" s="4" t="s">
        <v>163</v>
      </c>
      <c r="G107" s="6">
        <v>63</v>
      </c>
      <c r="H107" t="s">
        <v>32</v>
      </c>
      <c r="I107" t="s">
        <v>33</v>
      </c>
      <c r="J107">
        <v>16</v>
      </c>
      <c r="K107" t="s">
        <v>64</v>
      </c>
      <c r="L107" t="s">
        <v>43</v>
      </c>
      <c r="M107" s="8">
        <v>1170.95</v>
      </c>
      <c r="N107" s="6">
        <v>3</v>
      </c>
      <c r="O107" s="8">
        <f t="shared" si="8"/>
        <v>3512.8500000000004</v>
      </c>
      <c r="P107" t="s">
        <v>222</v>
      </c>
    </row>
    <row r="108" spans="1:16" x14ac:dyDescent="0.3">
      <c r="A108" s="6">
        <v>107</v>
      </c>
      <c r="B108" s="37">
        <v>45902</v>
      </c>
      <c r="C108" s="2" t="str">
        <f t="shared" si="6"/>
        <v>Sept</v>
      </c>
      <c r="D108" s="6">
        <f t="shared" si="7"/>
        <v>2025</v>
      </c>
      <c r="E108" s="6">
        <v>116</v>
      </c>
      <c r="F108" s="4" t="s">
        <v>164</v>
      </c>
      <c r="G108" s="6">
        <v>46</v>
      </c>
      <c r="H108" t="s">
        <v>16</v>
      </c>
      <c r="I108" t="s">
        <v>17</v>
      </c>
      <c r="J108">
        <v>19</v>
      </c>
      <c r="K108" t="s">
        <v>84</v>
      </c>
      <c r="L108" t="s">
        <v>43</v>
      </c>
      <c r="M108" s="8">
        <v>1048.43</v>
      </c>
      <c r="N108" s="6">
        <v>6</v>
      </c>
      <c r="O108" s="8">
        <f t="shared" si="8"/>
        <v>6290.58</v>
      </c>
      <c r="P108" t="s">
        <v>220</v>
      </c>
    </row>
    <row r="109" spans="1:16" x14ac:dyDescent="0.3">
      <c r="A109" s="6">
        <v>108</v>
      </c>
      <c r="B109" s="37">
        <v>45574</v>
      </c>
      <c r="C109" s="2" t="str">
        <f t="shared" si="6"/>
        <v>Oct</v>
      </c>
      <c r="D109" s="6">
        <f t="shared" si="7"/>
        <v>2024</v>
      </c>
      <c r="E109" s="6">
        <v>13</v>
      </c>
      <c r="F109" s="4" t="s">
        <v>165</v>
      </c>
      <c r="G109" s="6">
        <v>63</v>
      </c>
      <c r="H109" t="s">
        <v>16</v>
      </c>
      <c r="I109" t="s">
        <v>17</v>
      </c>
      <c r="J109">
        <v>16</v>
      </c>
      <c r="K109" t="s">
        <v>64</v>
      </c>
      <c r="L109" t="s">
        <v>43</v>
      </c>
      <c r="M109" s="8">
        <v>1170.95</v>
      </c>
      <c r="N109" s="6">
        <v>5</v>
      </c>
      <c r="O109" s="8">
        <f t="shared" si="8"/>
        <v>5854.75</v>
      </c>
      <c r="P109" t="s">
        <v>220</v>
      </c>
    </row>
    <row r="110" spans="1:16" x14ac:dyDescent="0.3">
      <c r="A110" s="6">
        <v>109</v>
      </c>
      <c r="B110" s="37">
        <v>45302</v>
      </c>
      <c r="C110" s="2" t="str">
        <f t="shared" si="6"/>
        <v>Jan</v>
      </c>
      <c r="D110" s="6">
        <f t="shared" si="7"/>
        <v>2024</v>
      </c>
      <c r="E110" s="6">
        <v>2</v>
      </c>
      <c r="F110" s="4" t="s">
        <v>128</v>
      </c>
      <c r="G110" s="6">
        <v>24</v>
      </c>
      <c r="H110" t="s">
        <v>49</v>
      </c>
      <c r="I110" t="s">
        <v>50</v>
      </c>
      <c r="J110">
        <v>5</v>
      </c>
      <c r="K110" t="s">
        <v>82</v>
      </c>
      <c r="L110" t="s">
        <v>29</v>
      </c>
      <c r="M110" s="8">
        <v>691.29</v>
      </c>
      <c r="N110" s="6">
        <v>5</v>
      </c>
      <c r="O110" s="8">
        <f t="shared" si="8"/>
        <v>3456.45</v>
      </c>
      <c r="P110" t="s">
        <v>220</v>
      </c>
    </row>
    <row r="111" spans="1:16" x14ac:dyDescent="0.3">
      <c r="A111" s="6">
        <v>110</v>
      </c>
      <c r="B111" s="37">
        <v>45487</v>
      </c>
      <c r="C111" s="2" t="str">
        <f t="shared" si="6"/>
        <v>Jul</v>
      </c>
      <c r="D111" s="6">
        <f t="shared" si="7"/>
        <v>2024</v>
      </c>
      <c r="E111" s="6">
        <v>76</v>
      </c>
      <c r="F111" s="4" t="s">
        <v>166</v>
      </c>
      <c r="G111" s="6">
        <v>22</v>
      </c>
      <c r="H111" t="s">
        <v>22</v>
      </c>
      <c r="I111" t="s">
        <v>23</v>
      </c>
      <c r="J111">
        <v>1</v>
      </c>
      <c r="K111" t="s">
        <v>69</v>
      </c>
      <c r="L111" t="s">
        <v>29</v>
      </c>
      <c r="M111" s="8">
        <v>83.63</v>
      </c>
      <c r="N111" s="6">
        <v>1</v>
      </c>
      <c r="O111" s="8">
        <f t="shared" si="8"/>
        <v>83.63</v>
      </c>
      <c r="P111" t="s">
        <v>219</v>
      </c>
    </row>
    <row r="112" spans="1:16" x14ac:dyDescent="0.3">
      <c r="A112" s="6">
        <v>111</v>
      </c>
      <c r="B112" s="37">
        <v>45539</v>
      </c>
      <c r="C112" s="2" t="str">
        <f t="shared" si="6"/>
        <v>Sept</v>
      </c>
      <c r="D112" s="6">
        <f t="shared" si="7"/>
        <v>2024</v>
      </c>
      <c r="E112" s="6">
        <v>100</v>
      </c>
      <c r="F112" s="4" t="s">
        <v>136</v>
      </c>
      <c r="G112" s="6">
        <v>60</v>
      </c>
      <c r="H112" t="s">
        <v>49</v>
      </c>
      <c r="I112" t="s">
        <v>50</v>
      </c>
      <c r="J112">
        <v>28</v>
      </c>
      <c r="K112" t="s">
        <v>77</v>
      </c>
      <c r="L112" t="s">
        <v>25</v>
      </c>
      <c r="M112" s="8">
        <v>486.19</v>
      </c>
      <c r="N112" s="6">
        <v>6</v>
      </c>
      <c r="O112" s="8">
        <f t="shared" si="8"/>
        <v>2917.14</v>
      </c>
      <c r="P112" t="s">
        <v>220</v>
      </c>
    </row>
    <row r="113" spans="1:16" x14ac:dyDescent="0.3">
      <c r="A113" s="6">
        <v>112</v>
      </c>
      <c r="B113" s="37">
        <v>45708</v>
      </c>
      <c r="C113" s="2" t="str">
        <f t="shared" si="6"/>
        <v>Feb</v>
      </c>
      <c r="D113" s="6">
        <f t="shared" si="7"/>
        <v>2025</v>
      </c>
      <c r="E113" s="6">
        <v>51</v>
      </c>
      <c r="F113" s="4" t="s">
        <v>153</v>
      </c>
      <c r="G113" s="6">
        <v>69</v>
      </c>
      <c r="H113" t="s">
        <v>52</v>
      </c>
      <c r="I113" t="s">
        <v>53</v>
      </c>
      <c r="J113">
        <v>14</v>
      </c>
      <c r="K113" t="s">
        <v>81</v>
      </c>
      <c r="L113" t="s">
        <v>38</v>
      </c>
      <c r="M113" s="8">
        <v>1292.75</v>
      </c>
      <c r="N113" s="6">
        <v>4</v>
      </c>
      <c r="O113" s="8">
        <f t="shared" si="8"/>
        <v>5171</v>
      </c>
      <c r="P113" t="s">
        <v>222</v>
      </c>
    </row>
    <row r="114" spans="1:16" x14ac:dyDescent="0.3">
      <c r="A114" s="6">
        <v>113</v>
      </c>
      <c r="B114" s="37">
        <v>45860</v>
      </c>
      <c r="C114" s="2" t="str">
        <f t="shared" si="6"/>
        <v>Jul</v>
      </c>
      <c r="D114" s="6">
        <f t="shared" si="7"/>
        <v>2025</v>
      </c>
      <c r="E114" s="6">
        <v>36</v>
      </c>
      <c r="F114" s="4" t="s">
        <v>144</v>
      </c>
      <c r="G114" s="6">
        <v>49</v>
      </c>
      <c r="H114" t="s">
        <v>32</v>
      </c>
      <c r="I114" t="s">
        <v>33</v>
      </c>
      <c r="J114">
        <v>26</v>
      </c>
      <c r="K114" t="s">
        <v>54</v>
      </c>
      <c r="L114" t="s">
        <v>25</v>
      </c>
      <c r="M114" s="8">
        <v>803.73</v>
      </c>
      <c r="N114" s="6">
        <v>2</v>
      </c>
      <c r="O114" s="8">
        <f t="shared" si="8"/>
        <v>1607.46</v>
      </c>
      <c r="P114" t="s">
        <v>222</v>
      </c>
    </row>
    <row r="115" spans="1:16" x14ac:dyDescent="0.3">
      <c r="A115" s="6">
        <v>114</v>
      </c>
      <c r="B115" s="37">
        <v>45999</v>
      </c>
      <c r="C115" s="2" t="str">
        <f t="shared" si="6"/>
        <v>Dec</v>
      </c>
      <c r="D115" s="6">
        <f t="shared" si="7"/>
        <v>2025</v>
      </c>
      <c r="E115" s="6">
        <v>27</v>
      </c>
      <c r="F115" s="4" t="s">
        <v>122</v>
      </c>
      <c r="G115" s="6">
        <v>25</v>
      </c>
      <c r="H115" t="s">
        <v>52</v>
      </c>
      <c r="I115" t="s">
        <v>53</v>
      </c>
      <c r="J115">
        <v>1</v>
      </c>
      <c r="K115" t="s">
        <v>69</v>
      </c>
      <c r="L115" t="s">
        <v>29</v>
      </c>
      <c r="M115" s="8">
        <v>83.63</v>
      </c>
      <c r="N115" s="6">
        <v>4</v>
      </c>
      <c r="O115" s="8">
        <f t="shared" si="8"/>
        <v>334.52</v>
      </c>
      <c r="P115" t="s">
        <v>220</v>
      </c>
    </row>
    <row r="116" spans="1:16" x14ac:dyDescent="0.3">
      <c r="A116" s="6">
        <v>115</v>
      </c>
      <c r="B116" s="37">
        <v>45953</v>
      </c>
      <c r="C116" s="2" t="str">
        <f t="shared" si="6"/>
        <v>Oct</v>
      </c>
      <c r="D116" s="6">
        <f t="shared" si="7"/>
        <v>2025</v>
      </c>
      <c r="E116" s="6">
        <v>85</v>
      </c>
      <c r="F116" s="4" t="s">
        <v>167</v>
      </c>
      <c r="G116" s="6">
        <v>39</v>
      </c>
      <c r="H116" t="s">
        <v>22</v>
      </c>
      <c r="I116" t="s">
        <v>23</v>
      </c>
      <c r="J116">
        <v>10</v>
      </c>
      <c r="K116" t="s">
        <v>70</v>
      </c>
      <c r="L116" t="s">
        <v>71</v>
      </c>
      <c r="M116" s="8">
        <v>608.48</v>
      </c>
      <c r="N116" s="6">
        <v>6</v>
      </c>
      <c r="O116" s="8">
        <f t="shared" si="8"/>
        <v>3650.88</v>
      </c>
      <c r="P116" t="s">
        <v>219</v>
      </c>
    </row>
    <row r="117" spans="1:16" x14ac:dyDescent="0.3">
      <c r="A117" s="6">
        <v>116</v>
      </c>
      <c r="B117" s="37">
        <v>45794</v>
      </c>
      <c r="C117" s="2" t="str">
        <f t="shared" si="6"/>
        <v>May</v>
      </c>
      <c r="D117" s="6">
        <f t="shared" si="7"/>
        <v>2025</v>
      </c>
      <c r="E117" s="6">
        <v>44</v>
      </c>
      <c r="F117" s="4" t="s">
        <v>148</v>
      </c>
      <c r="G117" s="6">
        <v>43</v>
      </c>
      <c r="H117" t="s">
        <v>49</v>
      </c>
      <c r="I117" t="s">
        <v>50</v>
      </c>
      <c r="J117">
        <v>19</v>
      </c>
      <c r="K117" t="s">
        <v>84</v>
      </c>
      <c r="L117" t="s">
        <v>43</v>
      </c>
      <c r="M117" s="8">
        <v>1048.43</v>
      </c>
      <c r="N117" s="6">
        <v>4</v>
      </c>
      <c r="O117" s="8">
        <f t="shared" si="8"/>
        <v>4193.72</v>
      </c>
      <c r="P117" t="s">
        <v>221</v>
      </c>
    </row>
    <row r="118" spans="1:16" x14ac:dyDescent="0.3">
      <c r="A118" s="6">
        <v>117</v>
      </c>
      <c r="B118" s="37">
        <v>45309</v>
      </c>
      <c r="C118" s="2" t="str">
        <f t="shared" si="6"/>
        <v>Jan</v>
      </c>
      <c r="D118" s="6">
        <f t="shared" si="7"/>
        <v>2024</v>
      </c>
      <c r="E118" s="6">
        <v>17</v>
      </c>
      <c r="F118" s="4" t="s">
        <v>168</v>
      </c>
      <c r="G118" s="6">
        <v>60</v>
      </c>
      <c r="H118" t="s">
        <v>16</v>
      </c>
      <c r="I118" t="s">
        <v>17</v>
      </c>
      <c r="J118">
        <v>30</v>
      </c>
      <c r="K118" t="s">
        <v>73</v>
      </c>
      <c r="L118" t="s">
        <v>25</v>
      </c>
      <c r="M118" s="8">
        <v>672.22</v>
      </c>
      <c r="N118" s="6">
        <v>1</v>
      </c>
      <c r="O118" s="8">
        <f t="shared" si="8"/>
        <v>672.22</v>
      </c>
      <c r="P118" t="s">
        <v>221</v>
      </c>
    </row>
    <row r="119" spans="1:16" x14ac:dyDescent="0.3">
      <c r="A119" s="6">
        <v>118</v>
      </c>
      <c r="B119" s="37">
        <v>45593</v>
      </c>
      <c r="C119" s="2" t="str">
        <f t="shared" si="6"/>
        <v>Oct</v>
      </c>
      <c r="D119" s="6">
        <f t="shared" si="7"/>
        <v>2024</v>
      </c>
      <c r="E119" s="6">
        <v>19</v>
      </c>
      <c r="F119" s="4" t="s">
        <v>169</v>
      </c>
      <c r="G119" s="6">
        <v>42</v>
      </c>
      <c r="H119" t="s">
        <v>49</v>
      </c>
      <c r="I119" t="s">
        <v>50</v>
      </c>
      <c r="J119">
        <v>19</v>
      </c>
      <c r="K119" t="s">
        <v>84</v>
      </c>
      <c r="L119" t="s">
        <v>43</v>
      </c>
      <c r="M119" s="8">
        <v>1048.43</v>
      </c>
      <c r="N119" s="6">
        <v>2</v>
      </c>
      <c r="O119" s="8">
        <f t="shared" si="8"/>
        <v>2096.86</v>
      </c>
      <c r="P119" t="s">
        <v>220</v>
      </c>
    </row>
    <row r="120" spans="1:16" x14ac:dyDescent="0.3">
      <c r="A120" s="6">
        <v>119</v>
      </c>
      <c r="B120" s="37">
        <v>45706</v>
      </c>
      <c r="C120" s="2" t="str">
        <f t="shared" si="6"/>
        <v>Feb</v>
      </c>
      <c r="D120" s="6">
        <f t="shared" si="7"/>
        <v>2025</v>
      </c>
      <c r="E120" s="6">
        <v>115</v>
      </c>
      <c r="F120" s="4" t="s">
        <v>161</v>
      </c>
      <c r="G120" s="6">
        <v>68</v>
      </c>
      <c r="H120" t="s">
        <v>22</v>
      </c>
      <c r="I120" t="s">
        <v>23</v>
      </c>
      <c r="J120">
        <v>5</v>
      </c>
      <c r="K120" t="s">
        <v>82</v>
      </c>
      <c r="L120" t="s">
        <v>29</v>
      </c>
      <c r="M120" s="8">
        <v>691.29</v>
      </c>
      <c r="N120" s="6">
        <v>6</v>
      </c>
      <c r="O120" s="8">
        <f t="shared" si="8"/>
        <v>4147.74</v>
      </c>
      <c r="P120" t="s">
        <v>221</v>
      </c>
    </row>
    <row r="121" spans="1:16" x14ac:dyDescent="0.3">
      <c r="A121" s="6">
        <v>120</v>
      </c>
      <c r="B121" s="37">
        <v>45541</v>
      </c>
      <c r="C121" s="2" t="str">
        <f t="shared" si="6"/>
        <v>Sept</v>
      </c>
      <c r="D121" s="6">
        <f t="shared" si="7"/>
        <v>2024</v>
      </c>
      <c r="E121" s="6">
        <v>86</v>
      </c>
      <c r="F121" s="4" t="s">
        <v>170</v>
      </c>
      <c r="G121" s="6">
        <v>28</v>
      </c>
      <c r="H121" t="s">
        <v>52</v>
      </c>
      <c r="I121" t="s">
        <v>53</v>
      </c>
      <c r="J121">
        <v>1</v>
      </c>
      <c r="K121" t="s">
        <v>69</v>
      </c>
      <c r="L121" t="s">
        <v>29</v>
      </c>
      <c r="M121" s="8">
        <v>83.63</v>
      </c>
      <c r="N121" s="6">
        <v>3</v>
      </c>
      <c r="O121" s="8">
        <f t="shared" si="8"/>
        <v>250.89</v>
      </c>
      <c r="P121" t="s">
        <v>219</v>
      </c>
    </row>
    <row r="122" spans="1:16" x14ac:dyDescent="0.3">
      <c r="A122" s="6">
        <v>121</v>
      </c>
      <c r="B122" s="37">
        <v>45971</v>
      </c>
      <c r="C122" s="2" t="str">
        <f t="shared" si="6"/>
        <v>Nov</v>
      </c>
      <c r="D122" s="6">
        <f t="shared" si="7"/>
        <v>2025</v>
      </c>
      <c r="E122" s="6">
        <v>68</v>
      </c>
      <c r="F122" s="4" t="s">
        <v>142</v>
      </c>
      <c r="G122" s="6">
        <v>22</v>
      </c>
      <c r="H122" t="s">
        <v>52</v>
      </c>
      <c r="I122" t="s">
        <v>53</v>
      </c>
      <c r="J122">
        <v>24</v>
      </c>
      <c r="K122" t="s">
        <v>45</v>
      </c>
      <c r="L122" t="s">
        <v>19</v>
      </c>
      <c r="M122" s="8">
        <v>213.01</v>
      </c>
      <c r="N122" s="6">
        <v>5</v>
      </c>
      <c r="O122" s="8">
        <f t="shared" si="8"/>
        <v>1065.05</v>
      </c>
      <c r="P122" t="s">
        <v>222</v>
      </c>
    </row>
    <row r="123" spans="1:16" x14ac:dyDescent="0.3">
      <c r="A123" s="6">
        <v>122</v>
      </c>
      <c r="B123" s="37">
        <v>45669</v>
      </c>
      <c r="C123" s="2" t="str">
        <f t="shared" si="6"/>
        <v>Jan</v>
      </c>
      <c r="D123" s="6">
        <f t="shared" si="7"/>
        <v>2025</v>
      </c>
      <c r="E123" s="6">
        <v>24</v>
      </c>
      <c r="F123" s="4" t="s">
        <v>171</v>
      </c>
      <c r="G123" s="6">
        <v>26</v>
      </c>
      <c r="H123" t="s">
        <v>52</v>
      </c>
      <c r="I123" t="s">
        <v>53</v>
      </c>
      <c r="J123">
        <v>23</v>
      </c>
      <c r="K123" t="s">
        <v>18</v>
      </c>
      <c r="L123" t="s">
        <v>19</v>
      </c>
      <c r="M123" s="8">
        <v>195.22</v>
      </c>
      <c r="N123" s="6">
        <v>4</v>
      </c>
      <c r="O123" s="8">
        <f t="shared" si="8"/>
        <v>780.88</v>
      </c>
      <c r="P123" t="s">
        <v>219</v>
      </c>
    </row>
    <row r="124" spans="1:16" x14ac:dyDescent="0.3">
      <c r="A124" s="6">
        <v>123</v>
      </c>
      <c r="B124" s="37">
        <v>45858</v>
      </c>
      <c r="C124" s="2" t="str">
        <f t="shared" si="6"/>
        <v>Jul</v>
      </c>
      <c r="D124" s="6">
        <f t="shared" si="7"/>
        <v>2025</v>
      </c>
      <c r="E124" s="6">
        <v>5</v>
      </c>
      <c r="F124" s="4" t="s">
        <v>163</v>
      </c>
      <c r="G124" s="6">
        <v>63</v>
      </c>
      <c r="H124" t="s">
        <v>32</v>
      </c>
      <c r="I124" t="s">
        <v>33</v>
      </c>
      <c r="J124">
        <v>14</v>
      </c>
      <c r="K124" t="s">
        <v>81</v>
      </c>
      <c r="L124" t="s">
        <v>38</v>
      </c>
      <c r="M124" s="8">
        <v>1292.75</v>
      </c>
      <c r="N124" s="6">
        <v>5</v>
      </c>
      <c r="O124" s="8">
        <f t="shared" si="8"/>
        <v>6463.75</v>
      </c>
      <c r="P124" t="s">
        <v>219</v>
      </c>
    </row>
    <row r="125" spans="1:16" x14ac:dyDescent="0.3">
      <c r="A125" s="6">
        <v>124</v>
      </c>
      <c r="B125" s="37">
        <v>45644</v>
      </c>
      <c r="C125" s="2" t="str">
        <f t="shared" si="6"/>
        <v>Dec</v>
      </c>
      <c r="D125" s="6">
        <f t="shared" si="7"/>
        <v>2024</v>
      </c>
      <c r="E125" s="6">
        <v>24</v>
      </c>
      <c r="F125" s="4" t="s">
        <v>171</v>
      </c>
      <c r="G125" s="6">
        <v>26</v>
      </c>
      <c r="H125" t="s">
        <v>52</v>
      </c>
      <c r="I125" t="s">
        <v>53</v>
      </c>
      <c r="J125">
        <v>30</v>
      </c>
      <c r="K125" t="s">
        <v>73</v>
      </c>
      <c r="L125" t="s">
        <v>25</v>
      </c>
      <c r="M125" s="8">
        <v>672.22</v>
      </c>
      <c r="N125" s="6">
        <v>4</v>
      </c>
      <c r="O125" s="8">
        <f t="shared" si="8"/>
        <v>2688.88</v>
      </c>
      <c r="P125" t="s">
        <v>221</v>
      </c>
    </row>
    <row r="126" spans="1:16" x14ac:dyDescent="0.3">
      <c r="A126" s="6">
        <v>125</v>
      </c>
      <c r="B126" s="37">
        <v>45855</v>
      </c>
      <c r="C126" s="2" t="str">
        <f t="shared" si="6"/>
        <v>Jul</v>
      </c>
      <c r="D126" s="6">
        <f t="shared" si="7"/>
        <v>2025</v>
      </c>
      <c r="E126" s="6">
        <v>112</v>
      </c>
      <c r="F126" s="4" t="s">
        <v>161</v>
      </c>
      <c r="G126" s="6">
        <v>60</v>
      </c>
      <c r="H126" t="s">
        <v>52</v>
      </c>
      <c r="I126" t="s">
        <v>53</v>
      </c>
      <c r="J126">
        <v>15</v>
      </c>
      <c r="K126" t="s">
        <v>67</v>
      </c>
      <c r="L126" t="s">
        <v>38</v>
      </c>
      <c r="M126" s="8">
        <v>1329.92</v>
      </c>
      <c r="N126" s="6">
        <v>3</v>
      </c>
      <c r="O126" s="8">
        <f t="shared" si="8"/>
        <v>3989.76</v>
      </c>
      <c r="P126" t="s">
        <v>222</v>
      </c>
    </row>
    <row r="127" spans="1:16" x14ac:dyDescent="0.3">
      <c r="A127" s="6">
        <v>126</v>
      </c>
      <c r="B127" s="37">
        <v>45652</v>
      </c>
      <c r="C127" s="2" t="str">
        <f t="shared" si="6"/>
        <v>Dec</v>
      </c>
      <c r="D127" s="6">
        <f t="shared" si="7"/>
        <v>2024</v>
      </c>
      <c r="E127" s="6">
        <v>99</v>
      </c>
      <c r="F127" s="4" t="s">
        <v>154</v>
      </c>
      <c r="G127" s="6">
        <v>40</v>
      </c>
      <c r="H127" t="s">
        <v>49</v>
      </c>
      <c r="I127" t="s">
        <v>50</v>
      </c>
      <c r="J127">
        <v>20</v>
      </c>
      <c r="K127" t="s">
        <v>58</v>
      </c>
      <c r="L127" t="s">
        <v>43</v>
      </c>
      <c r="M127" s="8">
        <v>704.86</v>
      </c>
      <c r="N127" s="6">
        <v>6</v>
      </c>
      <c r="O127" s="8">
        <f t="shared" si="8"/>
        <v>4229.16</v>
      </c>
      <c r="P127" t="s">
        <v>220</v>
      </c>
    </row>
    <row r="128" spans="1:16" x14ac:dyDescent="0.3">
      <c r="A128" s="6">
        <v>127</v>
      </c>
      <c r="B128" s="37">
        <v>45756</v>
      </c>
      <c r="C128" s="2" t="str">
        <f t="shared" si="6"/>
        <v>Apr</v>
      </c>
      <c r="D128" s="6">
        <f t="shared" si="7"/>
        <v>2025</v>
      </c>
      <c r="E128" s="6">
        <v>119</v>
      </c>
      <c r="F128" s="4" t="s">
        <v>110</v>
      </c>
      <c r="G128" s="6">
        <v>61</v>
      </c>
      <c r="H128" t="s">
        <v>16</v>
      </c>
      <c r="I128" t="s">
        <v>17</v>
      </c>
      <c r="J128">
        <v>29</v>
      </c>
      <c r="K128" t="s">
        <v>65</v>
      </c>
      <c r="L128" t="s">
        <v>25</v>
      </c>
      <c r="M128" s="8">
        <v>1136.55</v>
      </c>
      <c r="N128" s="6">
        <v>3</v>
      </c>
      <c r="O128" s="8">
        <f t="shared" si="8"/>
        <v>3409.6499999999996</v>
      </c>
      <c r="P128" t="s">
        <v>221</v>
      </c>
    </row>
    <row r="129" spans="1:16" x14ac:dyDescent="0.3">
      <c r="A129" s="6">
        <v>128</v>
      </c>
      <c r="B129" s="37">
        <v>45605</v>
      </c>
      <c r="C129" s="2" t="str">
        <f t="shared" si="6"/>
        <v>Nov</v>
      </c>
      <c r="D129" s="6">
        <f t="shared" si="7"/>
        <v>2024</v>
      </c>
      <c r="E129" s="6">
        <v>94</v>
      </c>
      <c r="F129" s="4" t="s">
        <v>172</v>
      </c>
      <c r="G129" s="6">
        <v>69</v>
      </c>
      <c r="H129" t="s">
        <v>49</v>
      </c>
      <c r="I129" t="s">
        <v>50</v>
      </c>
      <c r="J129">
        <v>5</v>
      </c>
      <c r="K129" t="s">
        <v>82</v>
      </c>
      <c r="L129" t="s">
        <v>29</v>
      </c>
      <c r="M129" s="8">
        <v>691.29</v>
      </c>
      <c r="N129" s="6">
        <v>3</v>
      </c>
      <c r="O129" s="8">
        <f t="shared" si="8"/>
        <v>2073.87</v>
      </c>
      <c r="P129" t="s">
        <v>219</v>
      </c>
    </row>
    <row r="130" spans="1:16" x14ac:dyDescent="0.3">
      <c r="A130" s="6">
        <v>129</v>
      </c>
      <c r="B130" s="37">
        <v>45528</v>
      </c>
      <c r="C130" s="2" t="str">
        <f t="shared" ref="C130:C193" si="9">TEXT(B130,"mmm")</f>
        <v>Aug</v>
      </c>
      <c r="D130" s="6">
        <f t="shared" ref="D130:D193" si="10">YEAR(B130)</f>
        <v>2024</v>
      </c>
      <c r="E130" s="6">
        <v>23</v>
      </c>
      <c r="F130" s="4" t="s">
        <v>133</v>
      </c>
      <c r="G130" s="6">
        <v>49</v>
      </c>
      <c r="H130" t="s">
        <v>16</v>
      </c>
      <c r="I130" t="s">
        <v>17</v>
      </c>
      <c r="J130">
        <v>28</v>
      </c>
      <c r="K130" t="s">
        <v>77</v>
      </c>
      <c r="L130" t="s">
        <v>25</v>
      </c>
      <c r="M130" s="8">
        <v>486.19</v>
      </c>
      <c r="N130" s="6">
        <v>1</v>
      </c>
      <c r="O130" s="8">
        <f t="shared" ref="O130:O193" si="11">M130*N130</f>
        <v>486.19</v>
      </c>
      <c r="P130" t="s">
        <v>219</v>
      </c>
    </row>
    <row r="131" spans="1:16" x14ac:dyDescent="0.3">
      <c r="A131" s="6">
        <v>130</v>
      </c>
      <c r="B131" s="37">
        <v>45489</v>
      </c>
      <c r="C131" s="2" t="str">
        <f t="shared" si="9"/>
        <v>Jul</v>
      </c>
      <c r="D131" s="6">
        <f t="shared" si="10"/>
        <v>2024</v>
      </c>
      <c r="E131" s="6">
        <v>93</v>
      </c>
      <c r="F131" s="4" t="s">
        <v>158</v>
      </c>
      <c r="G131" s="6">
        <v>27</v>
      </c>
      <c r="H131" t="s">
        <v>32</v>
      </c>
      <c r="I131" t="s">
        <v>33</v>
      </c>
      <c r="J131">
        <v>13</v>
      </c>
      <c r="K131" t="s">
        <v>40</v>
      </c>
      <c r="L131" t="s">
        <v>38</v>
      </c>
      <c r="M131" s="8">
        <v>1340.6</v>
      </c>
      <c r="N131" s="6">
        <v>3</v>
      </c>
      <c r="O131" s="8">
        <f t="shared" si="11"/>
        <v>4021.7999999999997</v>
      </c>
      <c r="P131" t="s">
        <v>222</v>
      </c>
    </row>
    <row r="132" spans="1:16" x14ac:dyDescent="0.3">
      <c r="A132" s="6">
        <v>131</v>
      </c>
      <c r="B132" s="37">
        <v>45414</v>
      </c>
      <c r="C132" s="2" t="str">
        <f t="shared" si="9"/>
        <v>May</v>
      </c>
      <c r="D132" s="6">
        <f t="shared" si="10"/>
        <v>2024</v>
      </c>
      <c r="E132" s="6">
        <v>17</v>
      </c>
      <c r="F132" s="4" t="s">
        <v>168</v>
      </c>
      <c r="G132" s="6">
        <v>60</v>
      </c>
      <c r="H132" t="s">
        <v>16</v>
      </c>
      <c r="I132" t="s">
        <v>17</v>
      </c>
      <c r="J132">
        <v>22</v>
      </c>
      <c r="K132" t="s">
        <v>85</v>
      </c>
      <c r="L132" t="s">
        <v>19</v>
      </c>
      <c r="M132" s="8">
        <v>1377.44</v>
      </c>
      <c r="N132" s="6">
        <v>6</v>
      </c>
      <c r="O132" s="8">
        <f t="shared" si="11"/>
        <v>8264.64</v>
      </c>
      <c r="P132" t="s">
        <v>219</v>
      </c>
    </row>
    <row r="133" spans="1:16" x14ac:dyDescent="0.3">
      <c r="A133" s="6">
        <v>132</v>
      </c>
      <c r="B133" s="37">
        <v>45840</v>
      </c>
      <c r="C133" s="2" t="str">
        <f t="shared" si="9"/>
        <v>Jul</v>
      </c>
      <c r="D133" s="6">
        <f t="shared" si="10"/>
        <v>2025</v>
      </c>
      <c r="E133" s="6">
        <v>33</v>
      </c>
      <c r="F133" s="4" t="s">
        <v>140</v>
      </c>
      <c r="G133" s="6">
        <v>64</v>
      </c>
      <c r="H133" t="s">
        <v>52</v>
      </c>
      <c r="I133" t="s">
        <v>53</v>
      </c>
      <c r="J133">
        <v>1</v>
      </c>
      <c r="K133" t="s">
        <v>69</v>
      </c>
      <c r="L133" t="s">
        <v>29</v>
      </c>
      <c r="M133" s="8">
        <v>83.63</v>
      </c>
      <c r="N133" s="6">
        <v>6</v>
      </c>
      <c r="O133" s="8">
        <f t="shared" si="11"/>
        <v>501.78</v>
      </c>
      <c r="P133" t="s">
        <v>220</v>
      </c>
    </row>
    <row r="134" spans="1:16" x14ac:dyDescent="0.3">
      <c r="A134" s="6">
        <v>133</v>
      </c>
      <c r="B134" s="37">
        <v>45481</v>
      </c>
      <c r="C134" s="2" t="str">
        <f t="shared" si="9"/>
        <v>Jul</v>
      </c>
      <c r="D134" s="6">
        <f t="shared" si="10"/>
        <v>2024</v>
      </c>
      <c r="E134" s="6">
        <v>12</v>
      </c>
      <c r="F134" s="4" t="s">
        <v>119</v>
      </c>
      <c r="G134" s="6">
        <v>36</v>
      </c>
      <c r="H134" t="s">
        <v>32</v>
      </c>
      <c r="I134" t="s">
        <v>33</v>
      </c>
      <c r="J134">
        <v>9</v>
      </c>
      <c r="K134" t="s">
        <v>76</v>
      </c>
      <c r="L134" t="s">
        <v>71</v>
      </c>
      <c r="M134" s="8">
        <v>585.21</v>
      </c>
      <c r="N134" s="6">
        <v>2</v>
      </c>
      <c r="O134" s="8">
        <f t="shared" si="11"/>
        <v>1170.42</v>
      </c>
      <c r="P134" t="s">
        <v>222</v>
      </c>
    </row>
    <row r="135" spans="1:16" x14ac:dyDescent="0.3">
      <c r="A135" s="6">
        <v>134</v>
      </c>
      <c r="B135" s="37">
        <v>45513</v>
      </c>
      <c r="C135" s="2" t="str">
        <f t="shared" si="9"/>
        <v>Aug</v>
      </c>
      <c r="D135" s="6">
        <f t="shared" si="10"/>
        <v>2024</v>
      </c>
      <c r="E135" s="6">
        <v>113</v>
      </c>
      <c r="F135" s="4" t="s">
        <v>111</v>
      </c>
      <c r="G135" s="6">
        <v>29</v>
      </c>
      <c r="H135" t="s">
        <v>32</v>
      </c>
      <c r="I135" t="s">
        <v>33</v>
      </c>
      <c r="J135">
        <v>24</v>
      </c>
      <c r="K135" t="s">
        <v>45</v>
      </c>
      <c r="L135" t="s">
        <v>19</v>
      </c>
      <c r="M135" s="8">
        <v>213.01</v>
      </c>
      <c r="N135" s="6">
        <v>6</v>
      </c>
      <c r="O135" s="8">
        <f t="shared" si="11"/>
        <v>1278.06</v>
      </c>
      <c r="P135" t="s">
        <v>222</v>
      </c>
    </row>
    <row r="136" spans="1:16" x14ac:dyDescent="0.3">
      <c r="A136" s="6">
        <v>135</v>
      </c>
      <c r="B136" s="37">
        <v>45787</v>
      </c>
      <c r="C136" s="2" t="str">
        <f t="shared" si="9"/>
        <v>May</v>
      </c>
      <c r="D136" s="6">
        <f t="shared" si="10"/>
        <v>2025</v>
      </c>
      <c r="E136" s="6">
        <v>74</v>
      </c>
      <c r="F136" s="4" t="s">
        <v>173</v>
      </c>
      <c r="G136" s="6">
        <v>57</v>
      </c>
      <c r="H136" t="s">
        <v>59</v>
      </c>
      <c r="I136" t="s">
        <v>33</v>
      </c>
      <c r="J136">
        <v>28</v>
      </c>
      <c r="K136" t="s">
        <v>77</v>
      </c>
      <c r="L136" t="s">
        <v>25</v>
      </c>
      <c r="M136" s="8">
        <v>486.19</v>
      </c>
      <c r="N136" s="6">
        <v>3</v>
      </c>
      <c r="O136" s="8">
        <f t="shared" si="11"/>
        <v>1458.57</v>
      </c>
      <c r="P136" t="s">
        <v>222</v>
      </c>
    </row>
    <row r="137" spans="1:16" x14ac:dyDescent="0.3">
      <c r="A137" s="6">
        <v>136</v>
      </c>
      <c r="B137" s="37">
        <v>45895</v>
      </c>
      <c r="C137" s="2" t="str">
        <f t="shared" si="9"/>
        <v>Aug</v>
      </c>
      <c r="D137" s="6">
        <f t="shared" si="10"/>
        <v>2025</v>
      </c>
      <c r="E137" s="6">
        <v>79</v>
      </c>
      <c r="F137" s="4" t="s">
        <v>123</v>
      </c>
      <c r="G137" s="6">
        <v>24</v>
      </c>
      <c r="H137" t="s">
        <v>22</v>
      </c>
      <c r="I137" t="s">
        <v>23</v>
      </c>
      <c r="J137">
        <v>6</v>
      </c>
      <c r="K137" t="s">
        <v>86</v>
      </c>
      <c r="L137" t="s">
        <v>71</v>
      </c>
      <c r="M137" s="8">
        <v>1330.91</v>
      </c>
      <c r="N137" s="6">
        <v>5</v>
      </c>
      <c r="O137" s="8">
        <f t="shared" si="11"/>
        <v>6654.55</v>
      </c>
      <c r="P137" t="s">
        <v>222</v>
      </c>
    </row>
    <row r="138" spans="1:16" x14ac:dyDescent="0.3">
      <c r="A138" s="6">
        <v>137</v>
      </c>
      <c r="B138" s="37">
        <v>45903</v>
      </c>
      <c r="C138" s="2" t="str">
        <f t="shared" si="9"/>
        <v>Sept</v>
      </c>
      <c r="D138" s="6">
        <f t="shared" si="10"/>
        <v>2025</v>
      </c>
      <c r="E138" s="6">
        <v>3</v>
      </c>
      <c r="F138" s="4" t="s">
        <v>155</v>
      </c>
      <c r="G138" s="6">
        <v>20</v>
      </c>
      <c r="H138" t="s">
        <v>59</v>
      </c>
      <c r="I138" t="s">
        <v>33</v>
      </c>
      <c r="J138">
        <v>14</v>
      </c>
      <c r="K138" t="s">
        <v>81</v>
      </c>
      <c r="L138" t="s">
        <v>38</v>
      </c>
      <c r="M138" s="8">
        <v>1292.75</v>
      </c>
      <c r="N138" s="6">
        <v>3</v>
      </c>
      <c r="O138" s="8">
        <f t="shared" si="11"/>
        <v>3878.25</v>
      </c>
      <c r="P138" t="s">
        <v>219</v>
      </c>
    </row>
    <row r="139" spans="1:16" x14ac:dyDescent="0.3">
      <c r="A139" s="6">
        <v>138</v>
      </c>
      <c r="B139" s="37">
        <v>45394</v>
      </c>
      <c r="C139" s="2" t="str">
        <f t="shared" si="9"/>
        <v>Apr</v>
      </c>
      <c r="D139" s="6">
        <f t="shared" si="10"/>
        <v>2024</v>
      </c>
      <c r="E139" s="6">
        <v>120</v>
      </c>
      <c r="F139" s="4" t="s">
        <v>174</v>
      </c>
      <c r="G139" s="6">
        <v>27</v>
      </c>
      <c r="H139" t="s">
        <v>49</v>
      </c>
      <c r="I139" t="s">
        <v>50</v>
      </c>
      <c r="J139">
        <v>18</v>
      </c>
      <c r="K139" t="s">
        <v>68</v>
      </c>
      <c r="L139" t="s">
        <v>43</v>
      </c>
      <c r="M139" s="8">
        <v>1209.0999999999999</v>
      </c>
      <c r="N139" s="6">
        <v>2</v>
      </c>
      <c r="O139" s="8">
        <f t="shared" si="11"/>
        <v>2418.1999999999998</v>
      </c>
      <c r="P139" t="s">
        <v>219</v>
      </c>
    </row>
    <row r="140" spans="1:16" x14ac:dyDescent="0.3">
      <c r="A140" s="6">
        <v>139</v>
      </c>
      <c r="B140" s="37">
        <v>45595</v>
      </c>
      <c r="C140" s="2" t="str">
        <f t="shared" si="9"/>
        <v>Oct</v>
      </c>
      <c r="D140" s="6">
        <f t="shared" si="10"/>
        <v>2024</v>
      </c>
      <c r="E140" s="6">
        <v>98</v>
      </c>
      <c r="F140" s="4" t="s">
        <v>175</v>
      </c>
      <c r="G140" s="6">
        <v>48</v>
      </c>
      <c r="H140" t="s">
        <v>59</v>
      </c>
      <c r="I140" t="s">
        <v>33</v>
      </c>
      <c r="J140">
        <v>14</v>
      </c>
      <c r="K140" t="s">
        <v>81</v>
      </c>
      <c r="L140" t="s">
        <v>38</v>
      </c>
      <c r="M140" s="8">
        <v>1292.75</v>
      </c>
      <c r="N140" s="6">
        <v>2</v>
      </c>
      <c r="O140" s="8">
        <f t="shared" si="11"/>
        <v>2585.5</v>
      </c>
      <c r="P140" t="s">
        <v>222</v>
      </c>
    </row>
    <row r="141" spans="1:16" x14ac:dyDescent="0.3">
      <c r="A141" s="6">
        <v>140</v>
      </c>
      <c r="B141" s="37">
        <v>45661</v>
      </c>
      <c r="C141" s="2" t="str">
        <f t="shared" si="9"/>
        <v>Jan</v>
      </c>
      <c r="D141" s="6">
        <f t="shared" si="10"/>
        <v>2025</v>
      </c>
      <c r="E141" s="6">
        <v>53</v>
      </c>
      <c r="F141" s="4" t="s">
        <v>124</v>
      </c>
      <c r="G141" s="6">
        <v>47</v>
      </c>
      <c r="H141" t="s">
        <v>16</v>
      </c>
      <c r="I141" t="s">
        <v>17</v>
      </c>
      <c r="J141">
        <v>5</v>
      </c>
      <c r="K141" t="s">
        <v>82</v>
      </c>
      <c r="L141" t="s">
        <v>29</v>
      </c>
      <c r="M141" s="8">
        <v>691.29</v>
      </c>
      <c r="N141" s="6">
        <v>2</v>
      </c>
      <c r="O141" s="8">
        <f t="shared" si="11"/>
        <v>1382.58</v>
      </c>
      <c r="P141" t="s">
        <v>220</v>
      </c>
    </row>
    <row r="142" spans="1:16" x14ac:dyDescent="0.3">
      <c r="A142" s="6">
        <v>141</v>
      </c>
      <c r="B142" s="37">
        <v>45601</v>
      </c>
      <c r="C142" s="2" t="str">
        <f t="shared" si="9"/>
        <v>Nov</v>
      </c>
      <c r="D142" s="6">
        <f t="shared" si="10"/>
        <v>2024</v>
      </c>
      <c r="E142" s="6">
        <v>105</v>
      </c>
      <c r="F142" s="4" t="s">
        <v>113</v>
      </c>
      <c r="G142" s="6">
        <v>45</v>
      </c>
      <c r="H142" t="s">
        <v>16</v>
      </c>
      <c r="I142" t="s">
        <v>17</v>
      </c>
      <c r="J142">
        <v>4</v>
      </c>
      <c r="K142" t="s">
        <v>48</v>
      </c>
      <c r="L142" t="s">
        <v>29</v>
      </c>
      <c r="M142" s="8">
        <v>1156.21</v>
      </c>
      <c r="N142" s="6">
        <v>1</v>
      </c>
      <c r="O142" s="8">
        <f t="shared" si="11"/>
        <v>1156.21</v>
      </c>
      <c r="P142" t="s">
        <v>221</v>
      </c>
    </row>
    <row r="143" spans="1:16" x14ac:dyDescent="0.3">
      <c r="A143" s="6">
        <v>142</v>
      </c>
      <c r="B143" s="37">
        <v>46017</v>
      </c>
      <c r="C143" s="2" t="str">
        <f t="shared" si="9"/>
        <v>Dec</v>
      </c>
      <c r="D143" s="6">
        <f t="shared" si="10"/>
        <v>2025</v>
      </c>
      <c r="E143" s="6">
        <v>40</v>
      </c>
      <c r="F143" s="4" t="s">
        <v>134</v>
      </c>
      <c r="G143" s="6">
        <v>67</v>
      </c>
      <c r="H143" t="s">
        <v>59</v>
      </c>
      <c r="I143" t="s">
        <v>33</v>
      </c>
      <c r="J143">
        <v>5</v>
      </c>
      <c r="K143" t="s">
        <v>82</v>
      </c>
      <c r="L143" t="s">
        <v>29</v>
      </c>
      <c r="M143" s="8">
        <v>691.29</v>
      </c>
      <c r="N143" s="6">
        <v>5</v>
      </c>
      <c r="O143" s="8">
        <f t="shared" si="11"/>
        <v>3456.45</v>
      </c>
      <c r="P143" t="s">
        <v>219</v>
      </c>
    </row>
    <row r="144" spans="1:16" x14ac:dyDescent="0.3">
      <c r="A144" s="6">
        <v>143</v>
      </c>
      <c r="B144" s="37">
        <v>45421</v>
      </c>
      <c r="C144" s="2" t="str">
        <f t="shared" si="9"/>
        <v>May</v>
      </c>
      <c r="D144" s="6">
        <f t="shared" si="10"/>
        <v>2024</v>
      </c>
      <c r="E144" s="6">
        <v>73</v>
      </c>
      <c r="F144" s="4" t="s">
        <v>176</v>
      </c>
      <c r="G144" s="6">
        <v>66</v>
      </c>
      <c r="H144" t="s">
        <v>22</v>
      </c>
      <c r="I144" t="s">
        <v>23</v>
      </c>
      <c r="J144">
        <v>23</v>
      </c>
      <c r="K144" t="s">
        <v>18</v>
      </c>
      <c r="L144" t="s">
        <v>19</v>
      </c>
      <c r="M144" s="8">
        <v>195.22</v>
      </c>
      <c r="N144" s="6">
        <v>3</v>
      </c>
      <c r="O144" s="8">
        <f t="shared" si="11"/>
        <v>585.66</v>
      </c>
      <c r="P144" t="s">
        <v>219</v>
      </c>
    </row>
    <row r="145" spans="1:16" x14ac:dyDescent="0.3">
      <c r="A145" s="6">
        <v>144</v>
      </c>
      <c r="B145" s="37">
        <v>45338</v>
      </c>
      <c r="C145" s="2" t="str">
        <f t="shared" si="9"/>
        <v>Feb</v>
      </c>
      <c r="D145" s="6">
        <f t="shared" si="10"/>
        <v>2024</v>
      </c>
      <c r="E145" s="6">
        <v>58</v>
      </c>
      <c r="F145" s="4" t="s">
        <v>114</v>
      </c>
      <c r="G145" s="6">
        <v>46</v>
      </c>
      <c r="H145" t="s">
        <v>52</v>
      </c>
      <c r="I145" t="s">
        <v>53</v>
      </c>
      <c r="J145">
        <v>21</v>
      </c>
      <c r="K145" t="s">
        <v>66</v>
      </c>
      <c r="L145" t="s">
        <v>19</v>
      </c>
      <c r="M145" s="8">
        <v>842.75</v>
      </c>
      <c r="N145" s="6">
        <v>1</v>
      </c>
      <c r="O145" s="8">
        <f t="shared" si="11"/>
        <v>842.75</v>
      </c>
      <c r="P145" t="s">
        <v>219</v>
      </c>
    </row>
    <row r="146" spans="1:16" x14ac:dyDescent="0.3">
      <c r="A146" s="6">
        <v>145</v>
      </c>
      <c r="B146" s="37">
        <v>45858</v>
      </c>
      <c r="C146" s="2" t="str">
        <f t="shared" si="9"/>
        <v>Jul</v>
      </c>
      <c r="D146" s="6">
        <f t="shared" si="10"/>
        <v>2025</v>
      </c>
      <c r="E146" s="6">
        <v>94</v>
      </c>
      <c r="F146" s="4" t="s">
        <v>172</v>
      </c>
      <c r="G146" s="6">
        <v>69</v>
      </c>
      <c r="H146" t="s">
        <v>49</v>
      </c>
      <c r="I146" t="s">
        <v>50</v>
      </c>
      <c r="J146">
        <v>25</v>
      </c>
      <c r="K146" t="s">
        <v>61</v>
      </c>
      <c r="L146" t="s">
        <v>19</v>
      </c>
      <c r="M146" s="8">
        <v>705</v>
      </c>
      <c r="N146" s="6">
        <v>3</v>
      </c>
      <c r="O146" s="8">
        <f t="shared" si="11"/>
        <v>2115</v>
      </c>
      <c r="P146" t="s">
        <v>220</v>
      </c>
    </row>
    <row r="147" spans="1:16" x14ac:dyDescent="0.3">
      <c r="A147" s="6">
        <v>146</v>
      </c>
      <c r="B147" s="37">
        <v>46006</v>
      </c>
      <c r="C147" s="2" t="str">
        <f t="shared" si="9"/>
        <v>Dec</v>
      </c>
      <c r="D147" s="6">
        <f t="shared" si="10"/>
        <v>2025</v>
      </c>
      <c r="E147" s="6">
        <v>110</v>
      </c>
      <c r="F147" s="4" t="s">
        <v>148</v>
      </c>
      <c r="G147" s="6">
        <v>50</v>
      </c>
      <c r="H147" t="s">
        <v>59</v>
      </c>
      <c r="I147" t="s">
        <v>33</v>
      </c>
      <c r="J147">
        <v>17</v>
      </c>
      <c r="K147" t="s">
        <v>42</v>
      </c>
      <c r="L147" t="s">
        <v>43</v>
      </c>
      <c r="M147" s="8">
        <v>339.98</v>
      </c>
      <c r="N147" s="6">
        <v>2</v>
      </c>
      <c r="O147" s="8">
        <f t="shared" si="11"/>
        <v>679.96</v>
      </c>
      <c r="P147" t="s">
        <v>221</v>
      </c>
    </row>
    <row r="148" spans="1:16" x14ac:dyDescent="0.3">
      <c r="A148" s="6">
        <v>147</v>
      </c>
      <c r="B148" s="37">
        <v>45945</v>
      </c>
      <c r="C148" s="2" t="str">
        <f t="shared" si="9"/>
        <v>Oct</v>
      </c>
      <c r="D148" s="6">
        <f t="shared" si="10"/>
        <v>2025</v>
      </c>
      <c r="E148" s="6">
        <v>38</v>
      </c>
      <c r="F148" s="4" t="s">
        <v>177</v>
      </c>
      <c r="G148" s="6">
        <v>54</v>
      </c>
      <c r="H148" t="s">
        <v>49</v>
      </c>
      <c r="I148" t="s">
        <v>50</v>
      </c>
      <c r="J148">
        <v>9</v>
      </c>
      <c r="K148" t="s">
        <v>76</v>
      </c>
      <c r="L148" t="s">
        <v>71</v>
      </c>
      <c r="M148" s="8">
        <v>585.21</v>
      </c>
      <c r="N148" s="6">
        <v>4</v>
      </c>
      <c r="O148" s="8">
        <f t="shared" si="11"/>
        <v>2340.84</v>
      </c>
      <c r="P148" t="s">
        <v>222</v>
      </c>
    </row>
    <row r="149" spans="1:16" x14ac:dyDescent="0.3">
      <c r="A149" s="6">
        <v>148</v>
      </c>
      <c r="B149" s="37">
        <v>45397</v>
      </c>
      <c r="C149" s="2" t="str">
        <f t="shared" si="9"/>
        <v>Apr</v>
      </c>
      <c r="D149" s="6">
        <f t="shared" si="10"/>
        <v>2024</v>
      </c>
      <c r="E149" s="6">
        <v>40</v>
      </c>
      <c r="F149" s="4" t="s">
        <v>134</v>
      </c>
      <c r="G149" s="6">
        <v>67</v>
      </c>
      <c r="H149" t="s">
        <v>59</v>
      </c>
      <c r="I149" t="s">
        <v>33</v>
      </c>
      <c r="J149">
        <v>15</v>
      </c>
      <c r="K149" t="s">
        <v>67</v>
      </c>
      <c r="L149" t="s">
        <v>38</v>
      </c>
      <c r="M149" s="8">
        <v>1329.92</v>
      </c>
      <c r="N149" s="6">
        <v>1</v>
      </c>
      <c r="O149" s="8">
        <f t="shared" si="11"/>
        <v>1329.92</v>
      </c>
      <c r="P149" t="s">
        <v>221</v>
      </c>
    </row>
    <row r="150" spans="1:16" x14ac:dyDescent="0.3">
      <c r="A150" s="6">
        <v>149</v>
      </c>
      <c r="B150" s="37">
        <v>45879</v>
      </c>
      <c r="C150" s="2" t="str">
        <f t="shared" si="9"/>
        <v>Aug</v>
      </c>
      <c r="D150" s="6">
        <f t="shared" si="10"/>
        <v>2025</v>
      </c>
      <c r="E150" s="6">
        <v>14</v>
      </c>
      <c r="F150" s="4" t="s">
        <v>108</v>
      </c>
      <c r="G150" s="6">
        <v>67</v>
      </c>
      <c r="H150" t="s">
        <v>32</v>
      </c>
      <c r="I150" t="s">
        <v>33</v>
      </c>
      <c r="J150">
        <v>5</v>
      </c>
      <c r="K150" t="s">
        <v>82</v>
      </c>
      <c r="L150" t="s">
        <v>29</v>
      </c>
      <c r="M150" s="8">
        <v>691.29</v>
      </c>
      <c r="N150" s="6">
        <v>3</v>
      </c>
      <c r="O150" s="8">
        <f t="shared" si="11"/>
        <v>2073.87</v>
      </c>
      <c r="P150" t="s">
        <v>220</v>
      </c>
    </row>
    <row r="151" spans="1:16" x14ac:dyDescent="0.3">
      <c r="A151" s="6">
        <v>150</v>
      </c>
      <c r="B151" s="37">
        <v>45772</v>
      </c>
      <c r="C151" s="2" t="str">
        <f t="shared" si="9"/>
        <v>Apr</v>
      </c>
      <c r="D151" s="6">
        <f t="shared" si="10"/>
        <v>2025</v>
      </c>
      <c r="E151" s="6">
        <v>104</v>
      </c>
      <c r="F151" s="4" t="s">
        <v>107</v>
      </c>
      <c r="G151" s="6">
        <v>56</v>
      </c>
      <c r="H151" t="s">
        <v>22</v>
      </c>
      <c r="I151" t="s">
        <v>23</v>
      </c>
      <c r="J151">
        <v>10</v>
      </c>
      <c r="K151" t="s">
        <v>70</v>
      </c>
      <c r="L151" t="s">
        <v>71</v>
      </c>
      <c r="M151" s="8">
        <v>608.48</v>
      </c>
      <c r="N151" s="6">
        <v>4</v>
      </c>
      <c r="O151" s="8">
        <f t="shared" si="11"/>
        <v>2433.92</v>
      </c>
      <c r="P151" t="s">
        <v>219</v>
      </c>
    </row>
    <row r="152" spans="1:16" x14ac:dyDescent="0.3">
      <c r="A152" s="6">
        <v>151</v>
      </c>
      <c r="B152" s="37">
        <v>45743</v>
      </c>
      <c r="C152" s="2" t="str">
        <f t="shared" si="9"/>
        <v>Mar</v>
      </c>
      <c r="D152" s="6">
        <f t="shared" si="10"/>
        <v>2025</v>
      </c>
      <c r="E152" s="6">
        <v>113</v>
      </c>
      <c r="F152" s="4" t="s">
        <v>111</v>
      </c>
      <c r="G152" s="6">
        <v>29</v>
      </c>
      <c r="H152" t="s">
        <v>32</v>
      </c>
      <c r="I152" t="s">
        <v>33</v>
      </c>
      <c r="J152">
        <v>12</v>
      </c>
      <c r="K152" t="s">
        <v>37</v>
      </c>
      <c r="L152" t="s">
        <v>38</v>
      </c>
      <c r="M152" s="8">
        <v>1036.1199999999999</v>
      </c>
      <c r="N152" s="6">
        <v>3</v>
      </c>
      <c r="O152" s="8">
        <f t="shared" si="11"/>
        <v>3108.3599999999997</v>
      </c>
      <c r="P152" t="s">
        <v>219</v>
      </c>
    </row>
    <row r="153" spans="1:16" x14ac:dyDescent="0.3">
      <c r="A153" s="6">
        <v>152</v>
      </c>
      <c r="B153" s="37">
        <v>45480</v>
      </c>
      <c r="C153" s="2" t="str">
        <f t="shared" si="9"/>
        <v>Jul</v>
      </c>
      <c r="D153" s="6">
        <f t="shared" si="10"/>
        <v>2024</v>
      </c>
      <c r="E153" s="6">
        <v>38</v>
      </c>
      <c r="F153" s="4" t="s">
        <v>177</v>
      </c>
      <c r="G153" s="6">
        <v>54</v>
      </c>
      <c r="H153" t="s">
        <v>49</v>
      </c>
      <c r="I153" t="s">
        <v>50</v>
      </c>
      <c r="J153">
        <v>11</v>
      </c>
      <c r="K153" t="s">
        <v>55</v>
      </c>
      <c r="L153" t="s">
        <v>38</v>
      </c>
      <c r="M153" s="8">
        <v>234.14</v>
      </c>
      <c r="N153" s="6">
        <v>1</v>
      </c>
      <c r="O153" s="8">
        <f t="shared" si="11"/>
        <v>234.14</v>
      </c>
      <c r="P153" t="s">
        <v>219</v>
      </c>
    </row>
    <row r="154" spans="1:16" x14ac:dyDescent="0.3">
      <c r="A154" s="6">
        <v>153</v>
      </c>
      <c r="B154" s="37">
        <v>45550</v>
      </c>
      <c r="C154" s="2" t="str">
        <f t="shared" si="9"/>
        <v>Sept</v>
      </c>
      <c r="D154" s="6">
        <f t="shared" si="10"/>
        <v>2024</v>
      </c>
      <c r="E154" s="6">
        <v>91</v>
      </c>
      <c r="F154" s="4" t="s">
        <v>120</v>
      </c>
      <c r="G154" s="6">
        <v>40</v>
      </c>
      <c r="H154" t="s">
        <v>16</v>
      </c>
      <c r="I154" t="s">
        <v>17</v>
      </c>
      <c r="J154">
        <v>8</v>
      </c>
      <c r="K154" t="s">
        <v>78</v>
      </c>
      <c r="L154" t="s">
        <v>71</v>
      </c>
      <c r="M154" s="8">
        <v>1081.74</v>
      </c>
      <c r="N154" s="6">
        <v>4</v>
      </c>
      <c r="O154" s="8">
        <f t="shared" si="11"/>
        <v>4326.96</v>
      </c>
      <c r="P154" t="s">
        <v>219</v>
      </c>
    </row>
    <row r="155" spans="1:16" x14ac:dyDescent="0.3">
      <c r="A155" s="6">
        <v>154</v>
      </c>
      <c r="B155" s="37">
        <v>45408</v>
      </c>
      <c r="C155" s="2" t="str">
        <f t="shared" si="9"/>
        <v>Apr</v>
      </c>
      <c r="D155" s="6">
        <f t="shared" si="10"/>
        <v>2024</v>
      </c>
      <c r="E155" s="6">
        <v>76</v>
      </c>
      <c r="F155" s="4" t="s">
        <v>166</v>
      </c>
      <c r="G155" s="6">
        <v>22</v>
      </c>
      <c r="H155" t="s">
        <v>22</v>
      </c>
      <c r="I155" t="s">
        <v>23</v>
      </c>
      <c r="J155">
        <v>30</v>
      </c>
      <c r="K155" t="s">
        <v>73</v>
      </c>
      <c r="L155" t="s">
        <v>25</v>
      </c>
      <c r="M155" s="8">
        <v>672.22</v>
      </c>
      <c r="N155" s="6">
        <v>1</v>
      </c>
      <c r="O155" s="8">
        <f t="shared" si="11"/>
        <v>672.22</v>
      </c>
      <c r="P155" t="s">
        <v>219</v>
      </c>
    </row>
    <row r="156" spans="1:16" x14ac:dyDescent="0.3">
      <c r="A156" s="6">
        <v>155</v>
      </c>
      <c r="B156" s="37">
        <v>45702</v>
      </c>
      <c r="C156" s="2" t="str">
        <f t="shared" si="9"/>
        <v>Feb</v>
      </c>
      <c r="D156" s="6">
        <f t="shared" si="10"/>
        <v>2025</v>
      </c>
      <c r="E156" s="6">
        <v>85</v>
      </c>
      <c r="F156" s="4" t="s">
        <v>167</v>
      </c>
      <c r="G156" s="6">
        <v>39</v>
      </c>
      <c r="H156" t="s">
        <v>22</v>
      </c>
      <c r="I156" t="s">
        <v>23</v>
      </c>
      <c r="J156">
        <v>24</v>
      </c>
      <c r="K156" t="s">
        <v>45</v>
      </c>
      <c r="L156" t="s">
        <v>19</v>
      </c>
      <c r="M156" s="8">
        <v>213.01</v>
      </c>
      <c r="N156" s="6">
        <v>4</v>
      </c>
      <c r="O156" s="8">
        <f t="shared" si="11"/>
        <v>852.04</v>
      </c>
      <c r="P156" t="s">
        <v>219</v>
      </c>
    </row>
    <row r="157" spans="1:16" x14ac:dyDescent="0.3">
      <c r="A157" s="6">
        <v>156</v>
      </c>
      <c r="B157" s="37">
        <v>45367</v>
      </c>
      <c r="C157" s="2" t="str">
        <f t="shared" si="9"/>
        <v>Mar</v>
      </c>
      <c r="D157" s="6">
        <f t="shared" si="10"/>
        <v>2024</v>
      </c>
      <c r="E157" s="6">
        <v>51</v>
      </c>
      <c r="F157" s="4" t="s">
        <v>153</v>
      </c>
      <c r="G157" s="6">
        <v>69</v>
      </c>
      <c r="H157" t="s">
        <v>52</v>
      </c>
      <c r="I157" t="s">
        <v>53</v>
      </c>
      <c r="J157">
        <v>29</v>
      </c>
      <c r="K157" t="s">
        <v>65</v>
      </c>
      <c r="L157" t="s">
        <v>25</v>
      </c>
      <c r="M157" s="8">
        <v>1136.55</v>
      </c>
      <c r="N157" s="6">
        <v>5</v>
      </c>
      <c r="O157" s="8">
        <f t="shared" si="11"/>
        <v>5682.75</v>
      </c>
      <c r="P157" t="s">
        <v>222</v>
      </c>
    </row>
    <row r="158" spans="1:16" x14ac:dyDescent="0.3">
      <c r="A158" s="6">
        <v>157</v>
      </c>
      <c r="B158" s="37">
        <v>45936</v>
      </c>
      <c r="C158" s="2" t="str">
        <f t="shared" si="9"/>
        <v>Oct</v>
      </c>
      <c r="D158" s="6">
        <f t="shared" si="10"/>
        <v>2025</v>
      </c>
      <c r="E158" s="6">
        <v>39</v>
      </c>
      <c r="F158" s="4" t="s">
        <v>178</v>
      </c>
      <c r="G158" s="6">
        <v>49</v>
      </c>
      <c r="H158" t="s">
        <v>59</v>
      </c>
      <c r="I158" t="s">
        <v>33</v>
      </c>
      <c r="J158">
        <v>29</v>
      </c>
      <c r="K158" t="s">
        <v>65</v>
      </c>
      <c r="L158" t="s">
        <v>25</v>
      </c>
      <c r="M158" s="8">
        <v>1136.55</v>
      </c>
      <c r="N158" s="6">
        <v>6</v>
      </c>
      <c r="O158" s="8">
        <f t="shared" si="11"/>
        <v>6819.2999999999993</v>
      </c>
      <c r="P158" t="s">
        <v>219</v>
      </c>
    </row>
    <row r="159" spans="1:16" x14ac:dyDescent="0.3">
      <c r="A159" s="6">
        <v>158</v>
      </c>
      <c r="B159" s="37">
        <v>45346</v>
      </c>
      <c r="C159" s="2" t="str">
        <f t="shared" si="9"/>
        <v>Feb</v>
      </c>
      <c r="D159" s="6">
        <f t="shared" si="10"/>
        <v>2024</v>
      </c>
      <c r="E159" s="6">
        <v>48</v>
      </c>
      <c r="F159" s="4" t="s">
        <v>114</v>
      </c>
      <c r="G159" s="6">
        <v>20</v>
      </c>
      <c r="H159" t="s">
        <v>32</v>
      </c>
      <c r="I159" t="s">
        <v>33</v>
      </c>
      <c r="J159">
        <v>28</v>
      </c>
      <c r="K159" t="s">
        <v>77</v>
      </c>
      <c r="L159" t="s">
        <v>25</v>
      </c>
      <c r="M159" s="8">
        <v>486.19</v>
      </c>
      <c r="N159" s="6">
        <v>2</v>
      </c>
      <c r="O159" s="8">
        <f t="shared" si="11"/>
        <v>972.38</v>
      </c>
      <c r="P159" t="s">
        <v>219</v>
      </c>
    </row>
    <row r="160" spans="1:16" x14ac:dyDescent="0.3">
      <c r="A160" s="6">
        <v>159</v>
      </c>
      <c r="B160" s="37">
        <v>45444</v>
      </c>
      <c r="C160" s="2" t="str">
        <f t="shared" si="9"/>
        <v>Jun</v>
      </c>
      <c r="D160" s="6">
        <f t="shared" si="10"/>
        <v>2024</v>
      </c>
      <c r="E160" s="6">
        <v>106</v>
      </c>
      <c r="F160" s="4" t="s">
        <v>151</v>
      </c>
      <c r="G160" s="6">
        <v>30</v>
      </c>
      <c r="H160" t="s">
        <v>59</v>
      </c>
      <c r="I160" t="s">
        <v>33</v>
      </c>
      <c r="J160">
        <v>28</v>
      </c>
      <c r="K160" t="s">
        <v>77</v>
      </c>
      <c r="L160" t="s">
        <v>25</v>
      </c>
      <c r="M160" s="8">
        <v>486.19</v>
      </c>
      <c r="N160" s="6">
        <v>5</v>
      </c>
      <c r="O160" s="8">
        <f t="shared" si="11"/>
        <v>2430.9499999999998</v>
      </c>
      <c r="P160" t="s">
        <v>222</v>
      </c>
    </row>
    <row r="161" spans="1:16" x14ac:dyDescent="0.3">
      <c r="A161" s="6">
        <v>160</v>
      </c>
      <c r="B161" s="37">
        <v>45603</v>
      </c>
      <c r="C161" s="2" t="str">
        <f t="shared" si="9"/>
        <v>Nov</v>
      </c>
      <c r="D161" s="6">
        <f t="shared" si="10"/>
        <v>2024</v>
      </c>
      <c r="E161" s="6">
        <v>34</v>
      </c>
      <c r="F161" s="4" t="s">
        <v>179</v>
      </c>
      <c r="G161" s="6">
        <v>58</v>
      </c>
      <c r="H161" t="s">
        <v>52</v>
      </c>
      <c r="I161" t="s">
        <v>53</v>
      </c>
      <c r="J161">
        <v>19</v>
      </c>
      <c r="K161" t="s">
        <v>84</v>
      </c>
      <c r="L161" t="s">
        <v>43</v>
      </c>
      <c r="M161" s="8">
        <v>1048.43</v>
      </c>
      <c r="N161" s="6">
        <v>1</v>
      </c>
      <c r="O161" s="8">
        <f t="shared" si="11"/>
        <v>1048.43</v>
      </c>
      <c r="P161" t="s">
        <v>219</v>
      </c>
    </row>
    <row r="162" spans="1:16" x14ac:dyDescent="0.3">
      <c r="A162" s="6">
        <v>161</v>
      </c>
      <c r="B162" s="37">
        <v>45546</v>
      </c>
      <c r="C162" s="2" t="str">
        <f t="shared" si="9"/>
        <v>Sept</v>
      </c>
      <c r="D162" s="6">
        <f t="shared" si="10"/>
        <v>2024</v>
      </c>
      <c r="E162" s="6">
        <v>31</v>
      </c>
      <c r="F162" s="4" t="s">
        <v>152</v>
      </c>
      <c r="G162" s="6">
        <v>66</v>
      </c>
      <c r="H162" t="s">
        <v>59</v>
      </c>
      <c r="I162" t="s">
        <v>33</v>
      </c>
      <c r="J162">
        <v>3</v>
      </c>
      <c r="K162" t="s">
        <v>28</v>
      </c>
      <c r="L162" t="s">
        <v>29</v>
      </c>
      <c r="M162" s="8">
        <v>922.74</v>
      </c>
      <c r="N162" s="6">
        <v>1</v>
      </c>
      <c r="O162" s="8">
        <f t="shared" si="11"/>
        <v>922.74</v>
      </c>
      <c r="P162" t="s">
        <v>219</v>
      </c>
    </row>
    <row r="163" spans="1:16" x14ac:dyDescent="0.3">
      <c r="A163" s="6">
        <v>162</v>
      </c>
      <c r="B163" s="37">
        <v>45863</v>
      </c>
      <c r="C163" s="2" t="str">
        <f t="shared" si="9"/>
        <v>Jul</v>
      </c>
      <c r="D163" s="6">
        <f t="shared" si="10"/>
        <v>2025</v>
      </c>
      <c r="E163" s="6">
        <v>22</v>
      </c>
      <c r="F163" s="4" t="s">
        <v>125</v>
      </c>
      <c r="G163" s="6">
        <v>31</v>
      </c>
      <c r="H163" t="s">
        <v>32</v>
      </c>
      <c r="I163" t="s">
        <v>33</v>
      </c>
      <c r="J163">
        <v>7</v>
      </c>
      <c r="K163" t="s">
        <v>80</v>
      </c>
      <c r="L163" t="s">
        <v>71</v>
      </c>
      <c r="M163" s="8">
        <v>869.87</v>
      </c>
      <c r="N163" s="6">
        <v>4</v>
      </c>
      <c r="O163" s="8">
        <f t="shared" si="11"/>
        <v>3479.48</v>
      </c>
      <c r="P163" t="s">
        <v>221</v>
      </c>
    </row>
    <row r="164" spans="1:16" x14ac:dyDescent="0.3">
      <c r="A164" s="6">
        <v>163</v>
      </c>
      <c r="B164" s="37">
        <v>45912</v>
      </c>
      <c r="C164" s="2" t="str">
        <f t="shared" si="9"/>
        <v>Sept</v>
      </c>
      <c r="D164" s="6">
        <f t="shared" si="10"/>
        <v>2025</v>
      </c>
      <c r="E164" s="6">
        <v>42</v>
      </c>
      <c r="F164" s="4" t="s">
        <v>106</v>
      </c>
      <c r="G164" s="6">
        <v>45</v>
      </c>
      <c r="H164" t="s">
        <v>22</v>
      </c>
      <c r="I164" t="s">
        <v>23</v>
      </c>
      <c r="J164">
        <v>13</v>
      </c>
      <c r="K164" t="s">
        <v>40</v>
      </c>
      <c r="L164" t="s">
        <v>38</v>
      </c>
      <c r="M164" s="8">
        <v>1340.6</v>
      </c>
      <c r="N164" s="6">
        <v>5</v>
      </c>
      <c r="O164" s="8">
        <f t="shared" si="11"/>
        <v>6703</v>
      </c>
      <c r="P164" t="s">
        <v>222</v>
      </c>
    </row>
    <row r="165" spans="1:16" x14ac:dyDescent="0.3">
      <c r="A165" s="6">
        <v>164</v>
      </c>
      <c r="B165" s="37">
        <v>45925</v>
      </c>
      <c r="C165" s="2" t="str">
        <f t="shared" si="9"/>
        <v>Sept</v>
      </c>
      <c r="D165" s="6">
        <f t="shared" si="10"/>
        <v>2025</v>
      </c>
      <c r="E165" s="6">
        <v>66</v>
      </c>
      <c r="F165" s="4" t="s">
        <v>167</v>
      </c>
      <c r="G165" s="6">
        <v>55</v>
      </c>
      <c r="H165" t="s">
        <v>16</v>
      </c>
      <c r="I165" t="s">
        <v>17</v>
      </c>
      <c r="J165">
        <v>4</v>
      </c>
      <c r="K165" t="s">
        <v>48</v>
      </c>
      <c r="L165" t="s">
        <v>29</v>
      </c>
      <c r="M165" s="8">
        <v>1156.21</v>
      </c>
      <c r="N165" s="6">
        <v>2</v>
      </c>
      <c r="O165" s="8">
        <f t="shared" si="11"/>
        <v>2312.42</v>
      </c>
      <c r="P165" t="s">
        <v>219</v>
      </c>
    </row>
    <row r="166" spans="1:16" x14ac:dyDescent="0.3">
      <c r="A166" s="6">
        <v>165</v>
      </c>
      <c r="B166" s="37">
        <v>45827</v>
      </c>
      <c r="C166" s="2" t="str">
        <f t="shared" si="9"/>
        <v>Jun</v>
      </c>
      <c r="D166" s="6">
        <f t="shared" si="10"/>
        <v>2025</v>
      </c>
      <c r="E166" s="6">
        <v>77</v>
      </c>
      <c r="F166" s="4" t="s">
        <v>160</v>
      </c>
      <c r="G166" s="6">
        <v>28</v>
      </c>
      <c r="H166" t="s">
        <v>49</v>
      </c>
      <c r="I166" t="s">
        <v>50</v>
      </c>
      <c r="J166">
        <v>16</v>
      </c>
      <c r="K166" t="s">
        <v>64</v>
      </c>
      <c r="L166" t="s">
        <v>43</v>
      </c>
      <c r="M166" s="8">
        <v>1170.95</v>
      </c>
      <c r="N166" s="6">
        <v>4</v>
      </c>
      <c r="O166" s="8">
        <f t="shared" si="11"/>
        <v>4683.8</v>
      </c>
      <c r="P166" t="s">
        <v>221</v>
      </c>
    </row>
    <row r="167" spans="1:16" x14ac:dyDescent="0.3">
      <c r="A167" s="6">
        <v>166</v>
      </c>
      <c r="B167" s="37">
        <v>45753</v>
      </c>
      <c r="C167" s="2" t="str">
        <f t="shared" si="9"/>
        <v>Apr</v>
      </c>
      <c r="D167" s="6">
        <f t="shared" si="10"/>
        <v>2025</v>
      </c>
      <c r="E167" s="6">
        <v>112</v>
      </c>
      <c r="F167" s="4" t="s">
        <v>161</v>
      </c>
      <c r="G167" s="6">
        <v>60</v>
      </c>
      <c r="H167" t="s">
        <v>52</v>
      </c>
      <c r="I167" t="s">
        <v>53</v>
      </c>
      <c r="J167">
        <v>26</v>
      </c>
      <c r="K167" t="s">
        <v>54</v>
      </c>
      <c r="L167" t="s">
        <v>25</v>
      </c>
      <c r="M167" s="8">
        <v>803.73</v>
      </c>
      <c r="N167" s="6">
        <v>4</v>
      </c>
      <c r="O167" s="8">
        <f t="shared" si="11"/>
        <v>3214.92</v>
      </c>
      <c r="P167" t="s">
        <v>219</v>
      </c>
    </row>
    <row r="168" spans="1:16" x14ac:dyDescent="0.3">
      <c r="A168" s="6">
        <v>167</v>
      </c>
      <c r="B168" s="37">
        <v>45596</v>
      </c>
      <c r="C168" s="2" t="str">
        <f t="shared" si="9"/>
        <v>Oct</v>
      </c>
      <c r="D168" s="6">
        <f t="shared" si="10"/>
        <v>2024</v>
      </c>
      <c r="E168" s="6">
        <v>6</v>
      </c>
      <c r="F168" s="4" t="s">
        <v>153</v>
      </c>
      <c r="G168" s="6">
        <v>55</v>
      </c>
      <c r="H168" t="s">
        <v>32</v>
      </c>
      <c r="I168" t="s">
        <v>33</v>
      </c>
      <c r="J168">
        <v>22</v>
      </c>
      <c r="K168" t="s">
        <v>85</v>
      </c>
      <c r="L168" t="s">
        <v>19</v>
      </c>
      <c r="M168" s="8">
        <v>1377.44</v>
      </c>
      <c r="N168" s="6">
        <v>5</v>
      </c>
      <c r="O168" s="8">
        <f t="shared" si="11"/>
        <v>6887.2000000000007</v>
      </c>
      <c r="P168" t="s">
        <v>222</v>
      </c>
    </row>
    <row r="169" spans="1:16" x14ac:dyDescent="0.3">
      <c r="A169" s="6">
        <v>168</v>
      </c>
      <c r="B169" s="37">
        <v>45731</v>
      </c>
      <c r="C169" s="2" t="str">
        <f t="shared" si="9"/>
        <v>Mar</v>
      </c>
      <c r="D169" s="6">
        <f t="shared" si="10"/>
        <v>2025</v>
      </c>
      <c r="E169" s="6">
        <v>45</v>
      </c>
      <c r="F169" s="4" t="s">
        <v>132</v>
      </c>
      <c r="G169" s="6">
        <v>46</v>
      </c>
      <c r="H169" t="s">
        <v>16</v>
      </c>
      <c r="I169" t="s">
        <v>17</v>
      </c>
      <c r="J169">
        <v>13</v>
      </c>
      <c r="K169" t="s">
        <v>40</v>
      </c>
      <c r="L169" t="s">
        <v>38</v>
      </c>
      <c r="M169" s="8">
        <v>1340.6</v>
      </c>
      <c r="N169" s="6">
        <v>3</v>
      </c>
      <c r="O169" s="8">
        <f t="shared" si="11"/>
        <v>4021.7999999999997</v>
      </c>
      <c r="P169" t="s">
        <v>220</v>
      </c>
    </row>
    <row r="170" spans="1:16" x14ac:dyDescent="0.3">
      <c r="A170" s="6">
        <v>169</v>
      </c>
      <c r="B170" s="37">
        <v>45874</v>
      </c>
      <c r="C170" s="2" t="str">
        <f t="shared" si="9"/>
        <v>Aug</v>
      </c>
      <c r="D170" s="6">
        <f t="shared" si="10"/>
        <v>2025</v>
      </c>
      <c r="E170" s="6">
        <v>27</v>
      </c>
      <c r="F170" s="4" t="s">
        <v>122</v>
      </c>
      <c r="G170" s="6">
        <v>25</v>
      </c>
      <c r="H170" t="s">
        <v>52</v>
      </c>
      <c r="I170" t="s">
        <v>53</v>
      </c>
      <c r="J170">
        <v>23</v>
      </c>
      <c r="K170" t="s">
        <v>18</v>
      </c>
      <c r="L170" t="s">
        <v>19</v>
      </c>
      <c r="M170" s="8">
        <v>195.22</v>
      </c>
      <c r="N170" s="6">
        <v>5</v>
      </c>
      <c r="O170" s="8">
        <f t="shared" si="11"/>
        <v>976.1</v>
      </c>
      <c r="P170" t="s">
        <v>219</v>
      </c>
    </row>
    <row r="171" spans="1:16" x14ac:dyDescent="0.3">
      <c r="A171" s="6">
        <v>170</v>
      </c>
      <c r="B171" s="37">
        <v>45353</v>
      </c>
      <c r="C171" s="2" t="str">
        <f t="shared" si="9"/>
        <v>Mar</v>
      </c>
      <c r="D171" s="6">
        <f t="shared" si="10"/>
        <v>2024</v>
      </c>
      <c r="E171" s="6">
        <v>107</v>
      </c>
      <c r="F171" s="4" t="s">
        <v>180</v>
      </c>
      <c r="G171" s="6">
        <v>18</v>
      </c>
      <c r="H171" t="s">
        <v>32</v>
      </c>
      <c r="I171" t="s">
        <v>33</v>
      </c>
      <c r="J171">
        <v>16</v>
      </c>
      <c r="K171" t="s">
        <v>64</v>
      </c>
      <c r="L171" t="s">
        <v>43</v>
      </c>
      <c r="M171" s="8">
        <v>1170.95</v>
      </c>
      <c r="N171" s="6">
        <v>5</v>
      </c>
      <c r="O171" s="8">
        <f t="shared" si="11"/>
        <v>5854.75</v>
      </c>
      <c r="P171" t="s">
        <v>220</v>
      </c>
    </row>
    <row r="172" spans="1:16" x14ac:dyDescent="0.3">
      <c r="A172" s="6">
        <v>171</v>
      </c>
      <c r="B172" s="37">
        <v>45393</v>
      </c>
      <c r="C172" s="2" t="str">
        <f t="shared" si="9"/>
        <v>Apr</v>
      </c>
      <c r="D172" s="6">
        <f t="shared" si="10"/>
        <v>2024</v>
      </c>
      <c r="E172" s="6">
        <v>113</v>
      </c>
      <c r="F172" s="4" t="s">
        <v>111</v>
      </c>
      <c r="G172" s="6">
        <v>29</v>
      </c>
      <c r="H172" t="s">
        <v>32</v>
      </c>
      <c r="I172" t="s">
        <v>33</v>
      </c>
      <c r="J172">
        <v>17</v>
      </c>
      <c r="K172" t="s">
        <v>42</v>
      </c>
      <c r="L172" t="s">
        <v>43</v>
      </c>
      <c r="M172" s="8">
        <v>339.98</v>
      </c>
      <c r="N172" s="6">
        <v>2</v>
      </c>
      <c r="O172" s="8">
        <f t="shared" si="11"/>
        <v>679.96</v>
      </c>
      <c r="P172" t="s">
        <v>219</v>
      </c>
    </row>
    <row r="173" spans="1:16" x14ac:dyDescent="0.3">
      <c r="A173" s="6">
        <v>172</v>
      </c>
      <c r="B173" s="37">
        <v>45932</v>
      </c>
      <c r="C173" s="2" t="str">
        <f t="shared" si="9"/>
        <v>Oct</v>
      </c>
      <c r="D173" s="6">
        <f t="shared" si="10"/>
        <v>2025</v>
      </c>
      <c r="E173" s="6">
        <v>18</v>
      </c>
      <c r="F173" s="4" t="s">
        <v>181</v>
      </c>
      <c r="G173" s="6">
        <v>28</v>
      </c>
      <c r="H173" t="s">
        <v>59</v>
      </c>
      <c r="I173" t="s">
        <v>33</v>
      </c>
      <c r="J173">
        <v>11</v>
      </c>
      <c r="K173" t="s">
        <v>55</v>
      </c>
      <c r="L173" t="s">
        <v>38</v>
      </c>
      <c r="M173" s="8">
        <v>234.14</v>
      </c>
      <c r="N173" s="6">
        <v>2</v>
      </c>
      <c r="O173" s="8">
        <f t="shared" si="11"/>
        <v>468.28</v>
      </c>
      <c r="P173" t="s">
        <v>219</v>
      </c>
    </row>
    <row r="174" spans="1:16" x14ac:dyDescent="0.3">
      <c r="A174" s="6">
        <v>173</v>
      </c>
      <c r="B174" s="37">
        <v>45562</v>
      </c>
      <c r="C174" s="2" t="str">
        <f t="shared" si="9"/>
        <v>Sept</v>
      </c>
      <c r="D174" s="6">
        <f t="shared" si="10"/>
        <v>2024</v>
      </c>
      <c r="E174" s="6">
        <v>96</v>
      </c>
      <c r="F174" s="4" t="s">
        <v>105</v>
      </c>
      <c r="G174" s="6">
        <v>69</v>
      </c>
      <c r="H174" t="s">
        <v>16</v>
      </c>
      <c r="I174" t="s">
        <v>17</v>
      </c>
      <c r="J174">
        <v>9</v>
      </c>
      <c r="K174" t="s">
        <v>76</v>
      </c>
      <c r="L174" t="s">
        <v>71</v>
      </c>
      <c r="M174" s="8">
        <v>585.21</v>
      </c>
      <c r="N174" s="6">
        <v>6</v>
      </c>
      <c r="O174" s="8">
        <f t="shared" si="11"/>
        <v>3511.26</v>
      </c>
      <c r="P174" t="s">
        <v>222</v>
      </c>
    </row>
    <row r="175" spans="1:16" x14ac:dyDescent="0.3">
      <c r="A175" s="6">
        <v>174</v>
      </c>
      <c r="B175" s="37">
        <v>45375</v>
      </c>
      <c r="C175" s="2" t="str">
        <f t="shared" si="9"/>
        <v>Mar</v>
      </c>
      <c r="D175" s="6">
        <f t="shared" si="10"/>
        <v>2024</v>
      </c>
      <c r="E175" s="6">
        <v>115</v>
      </c>
      <c r="F175" s="4" t="s">
        <v>161</v>
      </c>
      <c r="G175" s="6">
        <v>68</v>
      </c>
      <c r="H175" t="s">
        <v>22</v>
      </c>
      <c r="I175" t="s">
        <v>23</v>
      </c>
      <c r="J175">
        <v>16</v>
      </c>
      <c r="K175" t="s">
        <v>64</v>
      </c>
      <c r="L175" t="s">
        <v>43</v>
      </c>
      <c r="M175" s="8">
        <v>1170.95</v>
      </c>
      <c r="N175" s="6">
        <v>2</v>
      </c>
      <c r="O175" s="8">
        <f t="shared" si="11"/>
        <v>2341.9</v>
      </c>
      <c r="P175" t="s">
        <v>220</v>
      </c>
    </row>
    <row r="176" spans="1:16" x14ac:dyDescent="0.3">
      <c r="A176" s="6">
        <v>175</v>
      </c>
      <c r="B176" s="37">
        <v>45537</v>
      </c>
      <c r="C176" s="2" t="str">
        <f t="shared" si="9"/>
        <v>Sept</v>
      </c>
      <c r="D176" s="6">
        <f t="shared" si="10"/>
        <v>2024</v>
      </c>
      <c r="E176" s="6">
        <v>18</v>
      </c>
      <c r="F176" s="4" t="s">
        <v>181</v>
      </c>
      <c r="G176" s="6">
        <v>28</v>
      </c>
      <c r="H176" t="s">
        <v>59</v>
      </c>
      <c r="I176" t="s">
        <v>33</v>
      </c>
      <c r="J176">
        <v>17</v>
      </c>
      <c r="K176" t="s">
        <v>42</v>
      </c>
      <c r="L176" t="s">
        <v>43</v>
      </c>
      <c r="M176" s="8">
        <v>339.98</v>
      </c>
      <c r="N176" s="6">
        <v>2</v>
      </c>
      <c r="O176" s="8">
        <f t="shared" si="11"/>
        <v>679.96</v>
      </c>
      <c r="P176" t="s">
        <v>222</v>
      </c>
    </row>
    <row r="177" spans="1:16" x14ac:dyDescent="0.3">
      <c r="A177" s="6">
        <v>176</v>
      </c>
      <c r="B177" s="37">
        <v>45857</v>
      </c>
      <c r="C177" s="2" t="str">
        <f t="shared" si="9"/>
        <v>Jul</v>
      </c>
      <c r="D177" s="6">
        <f t="shared" si="10"/>
        <v>2025</v>
      </c>
      <c r="E177" s="6">
        <v>84</v>
      </c>
      <c r="F177" s="4" t="s">
        <v>182</v>
      </c>
      <c r="G177" s="6">
        <v>45</v>
      </c>
      <c r="H177" t="s">
        <v>32</v>
      </c>
      <c r="I177" t="s">
        <v>33</v>
      </c>
      <c r="J177">
        <v>27</v>
      </c>
      <c r="K177" t="s">
        <v>24</v>
      </c>
      <c r="L177" t="s">
        <v>25</v>
      </c>
      <c r="M177" s="8">
        <v>845</v>
      </c>
      <c r="N177" s="6">
        <v>1</v>
      </c>
      <c r="O177" s="8">
        <f t="shared" si="11"/>
        <v>845</v>
      </c>
      <c r="P177" t="s">
        <v>221</v>
      </c>
    </row>
    <row r="178" spans="1:16" x14ac:dyDescent="0.3">
      <c r="A178" s="6">
        <v>177</v>
      </c>
      <c r="B178" s="37">
        <v>45452</v>
      </c>
      <c r="C178" s="2" t="str">
        <f t="shared" si="9"/>
        <v>Jun</v>
      </c>
      <c r="D178" s="6">
        <f t="shared" si="10"/>
        <v>2024</v>
      </c>
      <c r="E178" s="6">
        <v>2</v>
      </c>
      <c r="F178" s="4" t="s">
        <v>128</v>
      </c>
      <c r="G178" s="6">
        <v>24</v>
      </c>
      <c r="H178" t="s">
        <v>49</v>
      </c>
      <c r="I178" t="s">
        <v>50</v>
      </c>
      <c r="J178">
        <v>3</v>
      </c>
      <c r="K178" t="s">
        <v>28</v>
      </c>
      <c r="L178" t="s">
        <v>29</v>
      </c>
      <c r="M178" s="8">
        <v>922.74</v>
      </c>
      <c r="N178" s="6">
        <v>1</v>
      </c>
      <c r="O178" s="8">
        <f t="shared" si="11"/>
        <v>922.74</v>
      </c>
      <c r="P178" t="s">
        <v>220</v>
      </c>
    </row>
    <row r="179" spans="1:16" x14ac:dyDescent="0.3">
      <c r="A179" s="6">
        <v>178</v>
      </c>
      <c r="B179" s="37">
        <v>45710</v>
      </c>
      <c r="C179" s="2" t="str">
        <f t="shared" si="9"/>
        <v>Feb</v>
      </c>
      <c r="D179" s="6">
        <f t="shared" si="10"/>
        <v>2025</v>
      </c>
      <c r="E179" s="6">
        <v>95</v>
      </c>
      <c r="F179" s="4" t="s">
        <v>115</v>
      </c>
      <c r="G179" s="6">
        <v>19</v>
      </c>
      <c r="H179" t="s">
        <v>52</v>
      </c>
      <c r="I179" t="s">
        <v>53</v>
      </c>
      <c r="J179">
        <v>23</v>
      </c>
      <c r="K179" t="s">
        <v>18</v>
      </c>
      <c r="L179" t="s">
        <v>19</v>
      </c>
      <c r="M179" s="8">
        <v>195.22</v>
      </c>
      <c r="N179" s="6">
        <v>4</v>
      </c>
      <c r="O179" s="8">
        <f t="shared" si="11"/>
        <v>780.88</v>
      </c>
      <c r="P179" t="s">
        <v>220</v>
      </c>
    </row>
    <row r="180" spans="1:16" x14ac:dyDescent="0.3">
      <c r="A180" s="6">
        <v>179</v>
      </c>
      <c r="B180" s="37">
        <v>45997</v>
      </c>
      <c r="C180" s="2" t="str">
        <f t="shared" si="9"/>
        <v>Dec</v>
      </c>
      <c r="D180" s="6">
        <f t="shared" si="10"/>
        <v>2025</v>
      </c>
      <c r="E180" s="6">
        <v>87</v>
      </c>
      <c r="F180" s="4" t="s">
        <v>183</v>
      </c>
      <c r="G180" s="6">
        <v>45</v>
      </c>
      <c r="H180" t="s">
        <v>52</v>
      </c>
      <c r="I180" t="s">
        <v>53</v>
      </c>
      <c r="J180">
        <v>17</v>
      </c>
      <c r="K180" t="s">
        <v>42</v>
      </c>
      <c r="L180" t="s">
        <v>43</v>
      </c>
      <c r="M180" s="8">
        <v>339.98</v>
      </c>
      <c r="N180" s="6">
        <v>5</v>
      </c>
      <c r="O180" s="8">
        <f t="shared" si="11"/>
        <v>1699.9</v>
      </c>
      <c r="P180" t="s">
        <v>221</v>
      </c>
    </row>
    <row r="181" spans="1:16" x14ac:dyDescent="0.3">
      <c r="A181" s="6">
        <v>180</v>
      </c>
      <c r="B181" s="37">
        <v>45773</v>
      </c>
      <c r="C181" s="2" t="str">
        <f t="shared" si="9"/>
        <v>Apr</v>
      </c>
      <c r="D181" s="6">
        <f t="shared" si="10"/>
        <v>2025</v>
      </c>
      <c r="E181" s="6">
        <v>8</v>
      </c>
      <c r="F181" s="4" t="s">
        <v>118</v>
      </c>
      <c r="G181" s="6">
        <v>31</v>
      </c>
      <c r="H181" t="s">
        <v>16</v>
      </c>
      <c r="I181" t="s">
        <v>17</v>
      </c>
      <c r="J181">
        <v>1</v>
      </c>
      <c r="K181" t="s">
        <v>69</v>
      </c>
      <c r="L181" t="s">
        <v>29</v>
      </c>
      <c r="M181" s="8">
        <v>83.63</v>
      </c>
      <c r="N181" s="6">
        <v>3</v>
      </c>
      <c r="O181" s="8">
        <f t="shared" si="11"/>
        <v>250.89</v>
      </c>
      <c r="P181" t="s">
        <v>221</v>
      </c>
    </row>
    <row r="182" spans="1:16" x14ac:dyDescent="0.3">
      <c r="A182" s="6">
        <v>181</v>
      </c>
      <c r="B182" s="37">
        <v>45325</v>
      </c>
      <c r="C182" s="2" t="str">
        <f t="shared" si="9"/>
        <v>Feb</v>
      </c>
      <c r="D182" s="6">
        <f t="shared" si="10"/>
        <v>2024</v>
      </c>
      <c r="E182" s="6">
        <v>82</v>
      </c>
      <c r="F182" s="4" t="s">
        <v>133</v>
      </c>
      <c r="G182" s="6">
        <v>58</v>
      </c>
      <c r="H182" t="s">
        <v>16</v>
      </c>
      <c r="I182" t="s">
        <v>17</v>
      </c>
      <c r="J182">
        <v>9</v>
      </c>
      <c r="K182" t="s">
        <v>76</v>
      </c>
      <c r="L182" t="s">
        <v>71</v>
      </c>
      <c r="M182" s="8">
        <v>585.21</v>
      </c>
      <c r="N182" s="6">
        <v>2</v>
      </c>
      <c r="O182" s="8">
        <f t="shared" si="11"/>
        <v>1170.42</v>
      </c>
      <c r="P182" t="s">
        <v>220</v>
      </c>
    </row>
    <row r="183" spans="1:16" x14ac:dyDescent="0.3">
      <c r="A183" s="6">
        <v>182</v>
      </c>
      <c r="B183" s="37">
        <v>45587</v>
      </c>
      <c r="C183" s="2" t="str">
        <f t="shared" si="9"/>
        <v>Oct</v>
      </c>
      <c r="D183" s="6">
        <f t="shared" si="10"/>
        <v>2024</v>
      </c>
      <c r="E183" s="6">
        <v>107</v>
      </c>
      <c r="F183" s="4" t="s">
        <v>180</v>
      </c>
      <c r="G183" s="6">
        <v>18</v>
      </c>
      <c r="H183" t="s">
        <v>32</v>
      </c>
      <c r="I183" t="s">
        <v>33</v>
      </c>
      <c r="J183">
        <v>13</v>
      </c>
      <c r="K183" t="s">
        <v>40</v>
      </c>
      <c r="L183" t="s">
        <v>38</v>
      </c>
      <c r="M183" s="8">
        <v>1340.6</v>
      </c>
      <c r="N183" s="6">
        <v>6</v>
      </c>
      <c r="O183" s="8">
        <f t="shared" si="11"/>
        <v>8043.5999999999995</v>
      </c>
      <c r="P183" t="s">
        <v>220</v>
      </c>
    </row>
    <row r="184" spans="1:16" x14ac:dyDescent="0.3">
      <c r="A184" s="6">
        <v>183</v>
      </c>
      <c r="B184" s="37">
        <v>45581</v>
      </c>
      <c r="C184" s="2" t="str">
        <f t="shared" si="9"/>
        <v>Oct</v>
      </c>
      <c r="D184" s="6">
        <f t="shared" si="10"/>
        <v>2024</v>
      </c>
      <c r="E184" s="6">
        <v>41</v>
      </c>
      <c r="F184" s="4" t="s">
        <v>159</v>
      </c>
      <c r="G184" s="6">
        <v>53</v>
      </c>
      <c r="H184" t="s">
        <v>52</v>
      </c>
      <c r="I184" t="s">
        <v>53</v>
      </c>
      <c r="J184">
        <v>17</v>
      </c>
      <c r="K184" t="s">
        <v>42</v>
      </c>
      <c r="L184" t="s">
        <v>43</v>
      </c>
      <c r="M184" s="8">
        <v>339.98</v>
      </c>
      <c r="N184" s="6">
        <v>6</v>
      </c>
      <c r="O184" s="8">
        <f t="shared" si="11"/>
        <v>2039.88</v>
      </c>
      <c r="P184" t="s">
        <v>219</v>
      </c>
    </row>
    <row r="185" spans="1:16" x14ac:dyDescent="0.3">
      <c r="A185" s="6">
        <v>184</v>
      </c>
      <c r="B185" s="37">
        <v>45756</v>
      </c>
      <c r="C185" s="2" t="str">
        <f t="shared" si="9"/>
        <v>Apr</v>
      </c>
      <c r="D185" s="6">
        <f t="shared" si="10"/>
        <v>2025</v>
      </c>
      <c r="E185" s="6">
        <v>2</v>
      </c>
      <c r="F185" s="4" t="s">
        <v>128</v>
      </c>
      <c r="G185" s="6">
        <v>24</v>
      </c>
      <c r="H185" t="s">
        <v>49</v>
      </c>
      <c r="I185" t="s">
        <v>50</v>
      </c>
      <c r="J185">
        <v>5</v>
      </c>
      <c r="K185" t="s">
        <v>82</v>
      </c>
      <c r="L185" t="s">
        <v>29</v>
      </c>
      <c r="M185" s="8">
        <v>691.29</v>
      </c>
      <c r="N185" s="6">
        <v>1</v>
      </c>
      <c r="O185" s="8">
        <f t="shared" si="11"/>
        <v>691.29</v>
      </c>
      <c r="P185" t="s">
        <v>219</v>
      </c>
    </row>
    <row r="186" spans="1:16" x14ac:dyDescent="0.3">
      <c r="A186" s="6">
        <v>185</v>
      </c>
      <c r="B186" s="37">
        <v>45995</v>
      </c>
      <c r="C186" s="2" t="str">
        <f t="shared" si="9"/>
        <v>Dec</v>
      </c>
      <c r="D186" s="6">
        <f t="shared" si="10"/>
        <v>2025</v>
      </c>
      <c r="E186" s="6">
        <v>102</v>
      </c>
      <c r="F186" s="4" t="s">
        <v>112</v>
      </c>
      <c r="G186" s="6">
        <v>50</v>
      </c>
      <c r="H186" t="s">
        <v>22</v>
      </c>
      <c r="I186" t="s">
        <v>23</v>
      </c>
      <c r="J186">
        <v>13</v>
      </c>
      <c r="K186" t="s">
        <v>40</v>
      </c>
      <c r="L186" t="s">
        <v>38</v>
      </c>
      <c r="M186" s="8">
        <v>1340.6</v>
      </c>
      <c r="N186" s="6">
        <v>2</v>
      </c>
      <c r="O186" s="8">
        <f t="shared" si="11"/>
        <v>2681.2</v>
      </c>
      <c r="P186" t="s">
        <v>220</v>
      </c>
    </row>
    <row r="187" spans="1:16" x14ac:dyDescent="0.3">
      <c r="A187" s="6">
        <v>186</v>
      </c>
      <c r="B187" s="37">
        <v>45562</v>
      </c>
      <c r="C187" s="2" t="str">
        <f t="shared" si="9"/>
        <v>Sept</v>
      </c>
      <c r="D187" s="6">
        <f t="shared" si="10"/>
        <v>2024</v>
      </c>
      <c r="E187" s="6">
        <v>96</v>
      </c>
      <c r="F187" s="4" t="s">
        <v>105</v>
      </c>
      <c r="G187" s="6">
        <v>69</v>
      </c>
      <c r="H187" t="s">
        <v>16</v>
      </c>
      <c r="I187" t="s">
        <v>17</v>
      </c>
      <c r="J187">
        <v>30</v>
      </c>
      <c r="K187" t="s">
        <v>73</v>
      </c>
      <c r="L187" t="s">
        <v>25</v>
      </c>
      <c r="M187" s="8">
        <v>672.22</v>
      </c>
      <c r="N187" s="6">
        <v>6</v>
      </c>
      <c r="O187" s="8">
        <f t="shared" si="11"/>
        <v>4033.32</v>
      </c>
      <c r="P187" t="s">
        <v>219</v>
      </c>
    </row>
    <row r="188" spans="1:16" x14ac:dyDescent="0.3">
      <c r="A188" s="6">
        <v>187</v>
      </c>
      <c r="B188" s="37">
        <v>45895</v>
      </c>
      <c r="C188" s="2" t="str">
        <f t="shared" si="9"/>
        <v>Aug</v>
      </c>
      <c r="D188" s="6">
        <f t="shared" si="10"/>
        <v>2025</v>
      </c>
      <c r="E188" s="6">
        <v>69</v>
      </c>
      <c r="F188" s="4" t="s">
        <v>184</v>
      </c>
      <c r="G188" s="6">
        <v>54</v>
      </c>
      <c r="H188" t="s">
        <v>49</v>
      </c>
      <c r="I188" t="s">
        <v>50</v>
      </c>
      <c r="J188">
        <v>18</v>
      </c>
      <c r="K188" t="s">
        <v>68</v>
      </c>
      <c r="L188" t="s">
        <v>43</v>
      </c>
      <c r="M188" s="8">
        <v>1209.0999999999999</v>
      </c>
      <c r="N188" s="6">
        <v>6</v>
      </c>
      <c r="O188" s="8">
        <f t="shared" si="11"/>
        <v>7254.5999999999995</v>
      </c>
      <c r="P188" t="s">
        <v>219</v>
      </c>
    </row>
    <row r="189" spans="1:16" x14ac:dyDescent="0.3">
      <c r="A189" s="6">
        <v>188</v>
      </c>
      <c r="B189" s="37">
        <v>45494</v>
      </c>
      <c r="C189" s="2" t="str">
        <f t="shared" si="9"/>
        <v>Jul</v>
      </c>
      <c r="D189" s="6">
        <f t="shared" si="10"/>
        <v>2024</v>
      </c>
      <c r="E189" s="6">
        <v>50</v>
      </c>
      <c r="F189" s="4" t="s">
        <v>185</v>
      </c>
      <c r="G189" s="6">
        <v>26</v>
      </c>
      <c r="H189" t="s">
        <v>52</v>
      </c>
      <c r="I189" t="s">
        <v>53</v>
      </c>
      <c r="J189">
        <v>4</v>
      </c>
      <c r="K189" t="s">
        <v>48</v>
      </c>
      <c r="L189" t="s">
        <v>29</v>
      </c>
      <c r="M189" s="8">
        <v>1156.21</v>
      </c>
      <c r="N189" s="6">
        <v>4</v>
      </c>
      <c r="O189" s="8">
        <f t="shared" si="11"/>
        <v>4624.84</v>
      </c>
      <c r="P189" t="s">
        <v>219</v>
      </c>
    </row>
    <row r="190" spans="1:16" x14ac:dyDescent="0.3">
      <c r="A190" s="6">
        <v>189</v>
      </c>
      <c r="B190" s="37">
        <v>45409</v>
      </c>
      <c r="C190" s="2" t="str">
        <f t="shared" si="9"/>
        <v>Apr</v>
      </c>
      <c r="D190" s="6">
        <f t="shared" si="10"/>
        <v>2024</v>
      </c>
      <c r="E190" s="6">
        <v>74</v>
      </c>
      <c r="F190" s="4" t="s">
        <v>173</v>
      </c>
      <c r="G190" s="6">
        <v>57</v>
      </c>
      <c r="H190" t="s">
        <v>59</v>
      </c>
      <c r="I190" t="s">
        <v>33</v>
      </c>
      <c r="J190">
        <v>23</v>
      </c>
      <c r="K190" t="s">
        <v>18</v>
      </c>
      <c r="L190" t="s">
        <v>19</v>
      </c>
      <c r="M190" s="8">
        <v>195.22</v>
      </c>
      <c r="N190" s="6">
        <v>5</v>
      </c>
      <c r="O190" s="8">
        <f t="shared" si="11"/>
        <v>976.1</v>
      </c>
      <c r="P190" t="s">
        <v>220</v>
      </c>
    </row>
    <row r="191" spans="1:16" x14ac:dyDescent="0.3">
      <c r="A191" s="6">
        <v>190</v>
      </c>
      <c r="B191" s="37">
        <v>45522</v>
      </c>
      <c r="C191" s="2" t="str">
        <f t="shared" si="9"/>
        <v>Aug</v>
      </c>
      <c r="D191" s="6">
        <f t="shared" si="10"/>
        <v>2024</v>
      </c>
      <c r="E191" s="6">
        <v>59</v>
      </c>
      <c r="F191" s="4" t="s">
        <v>156</v>
      </c>
      <c r="G191" s="6">
        <v>52</v>
      </c>
      <c r="H191" t="s">
        <v>59</v>
      </c>
      <c r="I191" t="s">
        <v>33</v>
      </c>
      <c r="J191">
        <v>8</v>
      </c>
      <c r="K191" t="s">
        <v>78</v>
      </c>
      <c r="L191" t="s">
        <v>71</v>
      </c>
      <c r="M191" s="8">
        <v>1081.74</v>
      </c>
      <c r="N191" s="6">
        <v>6</v>
      </c>
      <c r="O191" s="8">
        <f t="shared" si="11"/>
        <v>6490.4400000000005</v>
      </c>
      <c r="P191" t="s">
        <v>220</v>
      </c>
    </row>
    <row r="192" spans="1:16" x14ac:dyDescent="0.3">
      <c r="A192" s="6">
        <v>191</v>
      </c>
      <c r="B192" s="37">
        <v>45444</v>
      </c>
      <c r="C192" s="2" t="str">
        <f t="shared" si="9"/>
        <v>Jun</v>
      </c>
      <c r="D192" s="6">
        <f t="shared" si="10"/>
        <v>2024</v>
      </c>
      <c r="E192" s="6">
        <v>47</v>
      </c>
      <c r="F192" s="4" t="s">
        <v>165</v>
      </c>
      <c r="G192" s="6">
        <v>18</v>
      </c>
      <c r="H192" t="s">
        <v>49</v>
      </c>
      <c r="I192" t="s">
        <v>50</v>
      </c>
      <c r="J192">
        <v>11</v>
      </c>
      <c r="K192" t="s">
        <v>55</v>
      </c>
      <c r="L192" t="s">
        <v>38</v>
      </c>
      <c r="M192" s="8">
        <v>234.14</v>
      </c>
      <c r="N192" s="6">
        <v>3</v>
      </c>
      <c r="O192" s="8">
        <f t="shared" si="11"/>
        <v>702.42</v>
      </c>
      <c r="P192" t="s">
        <v>221</v>
      </c>
    </row>
    <row r="193" spans="1:16" x14ac:dyDescent="0.3">
      <c r="A193" s="6">
        <v>192</v>
      </c>
      <c r="B193" s="37">
        <v>45437</v>
      </c>
      <c r="C193" s="2" t="str">
        <f t="shared" si="9"/>
        <v>May</v>
      </c>
      <c r="D193" s="6">
        <f t="shared" si="10"/>
        <v>2024</v>
      </c>
      <c r="E193" s="6">
        <v>8</v>
      </c>
      <c r="F193" s="4" t="s">
        <v>118</v>
      </c>
      <c r="G193" s="6">
        <v>31</v>
      </c>
      <c r="H193" t="s">
        <v>16</v>
      </c>
      <c r="I193" t="s">
        <v>17</v>
      </c>
      <c r="J193">
        <v>16</v>
      </c>
      <c r="K193" t="s">
        <v>64</v>
      </c>
      <c r="L193" t="s">
        <v>43</v>
      </c>
      <c r="M193" s="8">
        <v>1170.95</v>
      </c>
      <c r="N193" s="6">
        <v>1</v>
      </c>
      <c r="O193" s="8">
        <f t="shared" si="11"/>
        <v>1170.95</v>
      </c>
      <c r="P193" t="s">
        <v>221</v>
      </c>
    </row>
    <row r="194" spans="1:16" x14ac:dyDescent="0.3">
      <c r="A194" s="6">
        <v>193</v>
      </c>
      <c r="B194" s="37">
        <v>45353</v>
      </c>
      <c r="C194" s="2" t="str">
        <f t="shared" ref="C194:C257" si="12">TEXT(B194,"mmm")</f>
        <v>Mar</v>
      </c>
      <c r="D194" s="6">
        <f t="shared" ref="D194:D257" si="13">YEAR(B194)</f>
        <v>2024</v>
      </c>
      <c r="E194" s="6">
        <v>14</v>
      </c>
      <c r="F194" s="4" t="s">
        <v>108</v>
      </c>
      <c r="G194" s="6">
        <v>67</v>
      </c>
      <c r="H194" t="s">
        <v>32</v>
      </c>
      <c r="I194" t="s">
        <v>33</v>
      </c>
      <c r="J194">
        <v>14</v>
      </c>
      <c r="K194" t="s">
        <v>81</v>
      </c>
      <c r="L194" t="s">
        <v>38</v>
      </c>
      <c r="M194" s="8">
        <v>1292.75</v>
      </c>
      <c r="N194" s="6">
        <v>2</v>
      </c>
      <c r="O194" s="8">
        <f t="shared" ref="O194:O257" si="14">M194*N194</f>
        <v>2585.5</v>
      </c>
      <c r="P194" t="s">
        <v>220</v>
      </c>
    </row>
    <row r="195" spans="1:16" x14ac:dyDescent="0.3">
      <c r="A195" s="6">
        <v>194</v>
      </c>
      <c r="B195" s="37">
        <v>45606</v>
      </c>
      <c r="C195" s="2" t="str">
        <f t="shared" si="12"/>
        <v>Nov</v>
      </c>
      <c r="D195" s="6">
        <f t="shared" si="13"/>
        <v>2024</v>
      </c>
      <c r="E195" s="6">
        <v>97</v>
      </c>
      <c r="F195" s="4" t="s">
        <v>118</v>
      </c>
      <c r="G195" s="6">
        <v>68</v>
      </c>
      <c r="H195" t="s">
        <v>49</v>
      </c>
      <c r="I195" t="s">
        <v>50</v>
      </c>
      <c r="J195">
        <v>16</v>
      </c>
      <c r="K195" t="s">
        <v>64</v>
      </c>
      <c r="L195" t="s">
        <v>43</v>
      </c>
      <c r="M195" s="8">
        <v>1170.95</v>
      </c>
      <c r="N195" s="6">
        <v>5</v>
      </c>
      <c r="O195" s="8">
        <f t="shared" si="14"/>
        <v>5854.75</v>
      </c>
      <c r="P195" t="s">
        <v>222</v>
      </c>
    </row>
    <row r="196" spans="1:16" x14ac:dyDescent="0.3">
      <c r="A196" s="6">
        <v>195</v>
      </c>
      <c r="B196" s="37">
        <v>45874</v>
      </c>
      <c r="C196" s="2" t="str">
        <f t="shared" si="12"/>
        <v>Aug</v>
      </c>
      <c r="D196" s="6">
        <f t="shared" si="13"/>
        <v>2025</v>
      </c>
      <c r="E196" s="6">
        <v>110</v>
      </c>
      <c r="F196" s="4" t="s">
        <v>148</v>
      </c>
      <c r="G196" s="6">
        <v>50</v>
      </c>
      <c r="H196" t="s">
        <v>59</v>
      </c>
      <c r="I196" t="s">
        <v>33</v>
      </c>
      <c r="J196">
        <v>5</v>
      </c>
      <c r="K196" t="s">
        <v>82</v>
      </c>
      <c r="L196" t="s">
        <v>29</v>
      </c>
      <c r="M196" s="8">
        <v>691.29</v>
      </c>
      <c r="N196" s="6">
        <v>3</v>
      </c>
      <c r="O196" s="8">
        <f t="shared" si="14"/>
        <v>2073.87</v>
      </c>
      <c r="P196" t="s">
        <v>222</v>
      </c>
    </row>
    <row r="197" spans="1:16" x14ac:dyDescent="0.3">
      <c r="A197" s="6">
        <v>196</v>
      </c>
      <c r="B197" s="37">
        <v>45741</v>
      </c>
      <c r="C197" s="2" t="str">
        <f t="shared" si="12"/>
        <v>Mar</v>
      </c>
      <c r="D197" s="6">
        <f t="shared" si="13"/>
        <v>2025</v>
      </c>
      <c r="E197" s="6">
        <v>69</v>
      </c>
      <c r="F197" s="4" t="s">
        <v>184</v>
      </c>
      <c r="G197" s="6">
        <v>54</v>
      </c>
      <c r="H197" t="s">
        <v>49</v>
      </c>
      <c r="I197" t="s">
        <v>50</v>
      </c>
      <c r="J197">
        <v>16</v>
      </c>
      <c r="K197" t="s">
        <v>64</v>
      </c>
      <c r="L197" t="s">
        <v>43</v>
      </c>
      <c r="M197" s="8">
        <v>1170.95</v>
      </c>
      <c r="N197" s="6">
        <v>1</v>
      </c>
      <c r="O197" s="8">
        <f t="shared" si="14"/>
        <v>1170.95</v>
      </c>
      <c r="P197" t="s">
        <v>220</v>
      </c>
    </row>
    <row r="198" spans="1:16" x14ac:dyDescent="0.3">
      <c r="A198" s="6">
        <v>197</v>
      </c>
      <c r="B198" s="37">
        <v>45771</v>
      </c>
      <c r="C198" s="2" t="str">
        <f t="shared" si="12"/>
        <v>Apr</v>
      </c>
      <c r="D198" s="6">
        <f t="shared" si="13"/>
        <v>2025</v>
      </c>
      <c r="E198" s="6">
        <v>22</v>
      </c>
      <c r="F198" s="4" t="s">
        <v>125</v>
      </c>
      <c r="G198" s="6">
        <v>31</v>
      </c>
      <c r="H198" t="s">
        <v>32</v>
      </c>
      <c r="I198" t="s">
        <v>33</v>
      </c>
      <c r="J198">
        <v>29</v>
      </c>
      <c r="K198" t="s">
        <v>65</v>
      </c>
      <c r="L198" t="s">
        <v>25</v>
      </c>
      <c r="M198" s="8">
        <v>1136.55</v>
      </c>
      <c r="N198" s="6">
        <v>6</v>
      </c>
      <c r="O198" s="8">
        <f t="shared" si="14"/>
        <v>6819.2999999999993</v>
      </c>
      <c r="P198" t="s">
        <v>220</v>
      </c>
    </row>
    <row r="199" spans="1:16" x14ac:dyDescent="0.3">
      <c r="A199" s="6">
        <v>198</v>
      </c>
      <c r="B199" s="37">
        <v>45603</v>
      </c>
      <c r="C199" s="2" t="str">
        <f t="shared" si="12"/>
        <v>Nov</v>
      </c>
      <c r="D199" s="6">
        <f t="shared" si="13"/>
        <v>2024</v>
      </c>
      <c r="E199" s="6">
        <v>58</v>
      </c>
      <c r="F199" s="4" t="s">
        <v>114</v>
      </c>
      <c r="G199" s="6">
        <v>46</v>
      </c>
      <c r="H199" t="s">
        <v>52</v>
      </c>
      <c r="I199" t="s">
        <v>53</v>
      </c>
      <c r="J199">
        <v>4</v>
      </c>
      <c r="K199" t="s">
        <v>48</v>
      </c>
      <c r="L199" t="s">
        <v>29</v>
      </c>
      <c r="M199" s="8">
        <v>1156.21</v>
      </c>
      <c r="N199" s="6">
        <v>6</v>
      </c>
      <c r="O199" s="8">
        <f t="shared" si="14"/>
        <v>6937.26</v>
      </c>
      <c r="P199" t="s">
        <v>221</v>
      </c>
    </row>
    <row r="200" spans="1:16" x14ac:dyDescent="0.3">
      <c r="A200" s="6">
        <v>199</v>
      </c>
      <c r="B200" s="37">
        <v>45704</v>
      </c>
      <c r="C200" s="2" t="str">
        <f t="shared" si="12"/>
        <v>Feb</v>
      </c>
      <c r="D200" s="6">
        <f t="shared" si="13"/>
        <v>2025</v>
      </c>
      <c r="E200" s="6">
        <v>24</v>
      </c>
      <c r="F200" s="4" t="s">
        <v>171</v>
      </c>
      <c r="G200" s="6">
        <v>26</v>
      </c>
      <c r="H200" t="s">
        <v>52</v>
      </c>
      <c r="I200" t="s">
        <v>53</v>
      </c>
      <c r="J200">
        <v>8</v>
      </c>
      <c r="K200" t="s">
        <v>78</v>
      </c>
      <c r="L200" t="s">
        <v>71</v>
      </c>
      <c r="M200" s="8">
        <v>1081.74</v>
      </c>
      <c r="N200" s="6">
        <v>3</v>
      </c>
      <c r="O200" s="8">
        <f t="shared" si="14"/>
        <v>3245.2200000000003</v>
      </c>
      <c r="P200" t="s">
        <v>220</v>
      </c>
    </row>
    <row r="201" spans="1:16" x14ac:dyDescent="0.3">
      <c r="A201" s="6">
        <v>200</v>
      </c>
      <c r="B201" s="37">
        <v>45804</v>
      </c>
      <c r="C201" s="2" t="str">
        <f t="shared" si="12"/>
        <v>May</v>
      </c>
      <c r="D201" s="6">
        <f t="shared" si="13"/>
        <v>2025</v>
      </c>
      <c r="E201" s="6">
        <v>83</v>
      </c>
      <c r="F201" s="4" t="s">
        <v>145</v>
      </c>
      <c r="G201" s="6">
        <v>34</v>
      </c>
      <c r="H201" t="s">
        <v>22</v>
      </c>
      <c r="I201" t="s">
        <v>23</v>
      </c>
      <c r="J201">
        <v>10</v>
      </c>
      <c r="K201" t="s">
        <v>70</v>
      </c>
      <c r="L201" t="s">
        <v>71</v>
      </c>
      <c r="M201" s="8">
        <v>608.48</v>
      </c>
      <c r="N201" s="6">
        <v>5</v>
      </c>
      <c r="O201" s="8">
        <f t="shared" si="14"/>
        <v>3042.4</v>
      </c>
      <c r="P201" t="s">
        <v>222</v>
      </c>
    </row>
    <row r="202" spans="1:16" x14ac:dyDescent="0.3">
      <c r="A202" s="6">
        <v>201</v>
      </c>
      <c r="B202" s="37">
        <v>45797</v>
      </c>
      <c r="C202" s="2" t="str">
        <f t="shared" si="12"/>
        <v>May</v>
      </c>
      <c r="D202" s="6">
        <f t="shared" si="13"/>
        <v>2025</v>
      </c>
      <c r="E202" s="6">
        <v>56</v>
      </c>
      <c r="F202" s="4" t="s">
        <v>129</v>
      </c>
      <c r="G202" s="6">
        <v>30</v>
      </c>
      <c r="H202" t="s">
        <v>59</v>
      </c>
      <c r="I202" t="s">
        <v>33</v>
      </c>
      <c r="J202">
        <v>27</v>
      </c>
      <c r="K202" t="s">
        <v>24</v>
      </c>
      <c r="L202" t="s">
        <v>25</v>
      </c>
      <c r="M202" s="8">
        <v>845</v>
      </c>
      <c r="N202" s="6">
        <v>4</v>
      </c>
      <c r="O202" s="8">
        <f t="shared" si="14"/>
        <v>3380</v>
      </c>
      <c r="P202" t="s">
        <v>222</v>
      </c>
    </row>
    <row r="203" spans="1:16" x14ac:dyDescent="0.3">
      <c r="A203" s="6">
        <v>202</v>
      </c>
      <c r="B203" s="37">
        <v>45374</v>
      </c>
      <c r="C203" s="2" t="str">
        <f t="shared" si="12"/>
        <v>Mar</v>
      </c>
      <c r="D203" s="6">
        <f t="shared" si="13"/>
        <v>2024</v>
      </c>
      <c r="E203" s="6">
        <v>96</v>
      </c>
      <c r="F203" s="4" t="s">
        <v>105</v>
      </c>
      <c r="G203" s="6">
        <v>69</v>
      </c>
      <c r="H203" t="s">
        <v>16</v>
      </c>
      <c r="I203" t="s">
        <v>17</v>
      </c>
      <c r="J203">
        <v>15</v>
      </c>
      <c r="K203" t="s">
        <v>67</v>
      </c>
      <c r="L203" t="s">
        <v>38</v>
      </c>
      <c r="M203" s="8">
        <v>1329.92</v>
      </c>
      <c r="N203" s="6">
        <v>5</v>
      </c>
      <c r="O203" s="8">
        <f t="shared" si="14"/>
        <v>6649.6</v>
      </c>
      <c r="P203" t="s">
        <v>219</v>
      </c>
    </row>
    <row r="204" spans="1:16" x14ac:dyDescent="0.3">
      <c r="A204" s="6">
        <v>203</v>
      </c>
      <c r="B204" s="37">
        <v>45332</v>
      </c>
      <c r="C204" s="2" t="str">
        <f t="shared" si="12"/>
        <v>Feb</v>
      </c>
      <c r="D204" s="6">
        <f t="shared" si="13"/>
        <v>2024</v>
      </c>
      <c r="E204" s="6">
        <v>106</v>
      </c>
      <c r="F204" s="4" t="s">
        <v>151</v>
      </c>
      <c r="G204" s="6">
        <v>30</v>
      </c>
      <c r="H204" t="s">
        <v>59</v>
      </c>
      <c r="I204" t="s">
        <v>33</v>
      </c>
      <c r="J204">
        <v>23</v>
      </c>
      <c r="K204" t="s">
        <v>18</v>
      </c>
      <c r="L204" t="s">
        <v>19</v>
      </c>
      <c r="M204" s="8">
        <v>195.22</v>
      </c>
      <c r="N204" s="6">
        <v>4</v>
      </c>
      <c r="O204" s="8">
        <f t="shared" si="14"/>
        <v>780.88</v>
      </c>
      <c r="P204" t="s">
        <v>222</v>
      </c>
    </row>
    <row r="205" spans="1:16" x14ac:dyDescent="0.3">
      <c r="A205" s="6">
        <v>204</v>
      </c>
      <c r="B205" s="37">
        <v>45622</v>
      </c>
      <c r="C205" s="2" t="str">
        <f t="shared" si="12"/>
        <v>Nov</v>
      </c>
      <c r="D205" s="6">
        <f t="shared" si="13"/>
        <v>2024</v>
      </c>
      <c r="E205" s="6">
        <v>51</v>
      </c>
      <c r="F205" s="4" t="s">
        <v>153</v>
      </c>
      <c r="G205" s="6">
        <v>69</v>
      </c>
      <c r="H205" t="s">
        <v>52</v>
      </c>
      <c r="I205" t="s">
        <v>53</v>
      </c>
      <c r="J205">
        <v>22</v>
      </c>
      <c r="K205" t="s">
        <v>85</v>
      </c>
      <c r="L205" t="s">
        <v>19</v>
      </c>
      <c r="M205" s="8">
        <v>1377.44</v>
      </c>
      <c r="N205" s="6">
        <v>5</v>
      </c>
      <c r="O205" s="8">
        <f t="shared" si="14"/>
        <v>6887.2000000000007</v>
      </c>
      <c r="P205" t="s">
        <v>222</v>
      </c>
    </row>
    <row r="206" spans="1:16" x14ac:dyDescent="0.3">
      <c r="A206" s="6">
        <v>205</v>
      </c>
      <c r="B206" s="37">
        <v>45548</v>
      </c>
      <c r="C206" s="2" t="str">
        <f t="shared" si="12"/>
        <v>Sept</v>
      </c>
      <c r="D206" s="6">
        <f t="shared" si="13"/>
        <v>2024</v>
      </c>
      <c r="E206" s="6">
        <v>82</v>
      </c>
      <c r="F206" s="4" t="s">
        <v>133</v>
      </c>
      <c r="G206" s="6">
        <v>58</v>
      </c>
      <c r="H206" t="s">
        <v>16</v>
      </c>
      <c r="I206" t="s">
        <v>17</v>
      </c>
      <c r="J206">
        <v>27</v>
      </c>
      <c r="K206" t="s">
        <v>24</v>
      </c>
      <c r="L206" t="s">
        <v>25</v>
      </c>
      <c r="M206" s="8">
        <v>845</v>
      </c>
      <c r="N206" s="6">
        <v>1</v>
      </c>
      <c r="O206" s="8">
        <f t="shared" si="14"/>
        <v>845</v>
      </c>
      <c r="P206" t="s">
        <v>220</v>
      </c>
    </row>
    <row r="207" spans="1:16" x14ac:dyDescent="0.3">
      <c r="A207" s="6">
        <v>206</v>
      </c>
      <c r="B207" s="37">
        <v>45385</v>
      </c>
      <c r="C207" s="2" t="str">
        <f t="shared" si="12"/>
        <v>Apr</v>
      </c>
      <c r="D207" s="6">
        <f t="shared" si="13"/>
        <v>2024</v>
      </c>
      <c r="E207" s="6">
        <v>78</v>
      </c>
      <c r="F207" s="4" t="s">
        <v>181</v>
      </c>
      <c r="G207" s="6">
        <v>51</v>
      </c>
      <c r="H207" t="s">
        <v>22</v>
      </c>
      <c r="I207" t="s">
        <v>23</v>
      </c>
      <c r="J207">
        <v>4</v>
      </c>
      <c r="K207" t="s">
        <v>48</v>
      </c>
      <c r="L207" t="s">
        <v>29</v>
      </c>
      <c r="M207" s="8">
        <v>1156.21</v>
      </c>
      <c r="N207" s="6">
        <v>2</v>
      </c>
      <c r="O207" s="8">
        <f t="shared" si="14"/>
        <v>2312.42</v>
      </c>
      <c r="P207" t="s">
        <v>221</v>
      </c>
    </row>
    <row r="208" spans="1:16" x14ac:dyDescent="0.3">
      <c r="A208" s="6">
        <v>207</v>
      </c>
      <c r="B208" s="37">
        <v>45982</v>
      </c>
      <c r="C208" s="2" t="str">
        <f t="shared" si="12"/>
        <v>Nov</v>
      </c>
      <c r="D208" s="6">
        <f t="shared" si="13"/>
        <v>2025</v>
      </c>
      <c r="E208" s="6">
        <v>6</v>
      </c>
      <c r="F208" s="4" t="s">
        <v>153</v>
      </c>
      <c r="G208" s="6">
        <v>55</v>
      </c>
      <c r="H208" t="s">
        <v>32</v>
      </c>
      <c r="I208" t="s">
        <v>33</v>
      </c>
      <c r="J208">
        <v>19</v>
      </c>
      <c r="K208" t="s">
        <v>84</v>
      </c>
      <c r="L208" t="s">
        <v>43</v>
      </c>
      <c r="M208" s="8">
        <v>1048.43</v>
      </c>
      <c r="N208" s="6">
        <v>5</v>
      </c>
      <c r="O208" s="8">
        <f t="shared" si="14"/>
        <v>5242.1500000000005</v>
      </c>
      <c r="P208" t="s">
        <v>222</v>
      </c>
    </row>
    <row r="209" spans="1:16" x14ac:dyDescent="0.3">
      <c r="A209" s="6">
        <v>208</v>
      </c>
      <c r="B209" s="37">
        <v>45893</v>
      </c>
      <c r="C209" s="2" t="str">
        <f t="shared" si="12"/>
        <v>Aug</v>
      </c>
      <c r="D209" s="6">
        <f t="shared" si="13"/>
        <v>2025</v>
      </c>
      <c r="E209" s="6">
        <v>76</v>
      </c>
      <c r="F209" s="4" t="s">
        <v>166</v>
      </c>
      <c r="G209" s="6">
        <v>22</v>
      </c>
      <c r="H209" t="s">
        <v>22</v>
      </c>
      <c r="I209" t="s">
        <v>23</v>
      </c>
      <c r="J209">
        <v>5</v>
      </c>
      <c r="K209" t="s">
        <v>82</v>
      </c>
      <c r="L209" t="s">
        <v>29</v>
      </c>
      <c r="M209" s="8">
        <v>691.29</v>
      </c>
      <c r="N209" s="6">
        <v>1</v>
      </c>
      <c r="O209" s="8">
        <f t="shared" si="14"/>
        <v>691.29</v>
      </c>
      <c r="P209" t="s">
        <v>221</v>
      </c>
    </row>
    <row r="210" spans="1:16" x14ac:dyDescent="0.3">
      <c r="A210" s="6">
        <v>209</v>
      </c>
      <c r="B210" s="37">
        <v>45980</v>
      </c>
      <c r="C210" s="2" t="str">
        <f t="shared" si="12"/>
        <v>Nov</v>
      </c>
      <c r="D210" s="6">
        <f t="shared" si="13"/>
        <v>2025</v>
      </c>
      <c r="E210" s="6">
        <v>55</v>
      </c>
      <c r="F210" s="4" t="s">
        <v>121</v>
      </c>
      <c r="G210" s="6">
        <v>39</v>
      </c>
      <c r="H210" t="s">
        <v>32</v>
      </c>
      <c r="I210" t="s">
        <v>33</v>
      </c>
      <c r="J210">
        <v>22</v>
      </c>
      <c r="K210" t="s">
        <v>85</v>
      </c>
      <c r="L210" t="s">
        <v>19</v>
      </c>
      <c r="M210" s="8">
        <v>1377.44</v>
      </c>
      <c r="N210" s="6">
        <v>3</v>
      </c>
      <c r="O210" s="8">
        <f t="shared" si="14"/>
        <v>4132.32</v>
      </c>
      <c r="P210" t="s">
        <v>219</v>
      </c>
    </row>
    <row r="211" spans="1:16" x14ac:dyDescent="0.3">
      <c r="A211" s="6">
        <v>210</v>
      </c>
      <c r="B211" s="37">
        <v>45882</v>
      </c>
      <c r="C211" s="2" t="str">
        <f t="shared" si="12"/>
        <v>Aug</v>
      </c>
      <c r="D211" s="6">
        <f t="shared" si="13"/>
        <v>2025</v>
      </c>
      <c r="E211" s="6">
        <v>100</v>
      </c>
      <c r="F211" s="4" t="s">
        <v>136</v>
      </c>
      <c r="G211" s="6">
        <v>60</v>
      </c>
      <c r="H211" t="s">
        <v>49</v>
      </c>
      <c r="I211" t="s">
        <v>50</v>
      </c>
      <c r="J211">
        <v>25</v>
      </c>
      <c r="K211" t="s">
        <v>61</v>
      </c>
      <c r="L211" t="s">
        <v>19</v>
      </c>
      <c r="M211" s="8">
        <v>705</v>
      </c>
      <c r="N211" s="6">
        <v>1</v>
      </c>
      <c r="O211" s="8">
        <f t="shared" si="14"/>
        <v>705</v>
      </c>
      <c r="P211" t="s">
        <v>219</v>
      </c>
    </row>
    <row r="212" spans="1:16" x14ac:dyDescent="0.3">
      <c r="A212" s="6">
        <v>211</v>
      </c>
      <c r="B212" s="37">
        <v>45471</v>
      </c>
      <c r="C212" s="2" t="str">
        <f t="shared" si="12"/>
        <v>Jun</v>
      </c>
      <c r="D212" s="6">
        <f t="shared" si="13"/>
        <v>2024</v>
      </c>
      <c r="E212" s="6">
        <v>25</v>
      </c>
      <c r="F212" s="4" t="s">
        <v>137</v>
      </c>
      <c r="G212" s="6">
        <v>45</v>
      </c>
      <c r="H212" t="s">
        <v>22</v>
      </c>
      <c r="I212" t="s">
        <v>23</v>
      </c>
      <c r="J212">
        <v>6</v>
      </c>
      <c r="K212" t="s">
        <v>86</v>
      </c>
      <c r="L212" t="s">
        <v>71</v>
      </c>
      <c r="M212" s="8">
        <v>1330.91</v>
      </c>
      <c r="N212" s="6">
        <v>4</v>
      </c>
      <c r="O212" s="8">
        <f t="shared" si="14"/>
        <v>5323.64</v>
      </c>
      <c r="P212" t="s">
        <v>219</v>
      </c>
    </row>
    <row r="213" spans="1:16" x14ac:dyDescent="0.3">
      <c r="A213" s="6">
        <v>212</v>
      </c>
      <c r="B213" s="37">
        <v>45823</v>
      </c>
      <c r="C213" s="2" t="str">
        <f t="shared" si="12"/>
        <v>Jun</v>
      </c>
      <c r="D213" s="6">
        <f t="shared" si="13"/>
        <v>2025</v>
      </c>
      <c r="E213" s="6">
        <v>73</v>
      </c>
      <c r="F213" s="4" t="s">
        <v>176</v>
      </c>
      <c r="G213" s="6">
        <v>66</v>
      </c>
      <c r="H213" t="s">
        <v>22</v>
      </c>
      <c r="I213" t="s">
        <v>23</v>
      </c>
      <c r="J213">
        <v>11</v>
      </c>
      <c r="K213" t="s">
        <v>55</v>
      </c>
      <c r="L213" t="s">
        <v>38</v>
      </c>
      <c r="M213" s="8">
        <v>234.14</v>
      </c>
      <c r="N213" s="6">
        <v>6</v>
      </c>
      <c r="O213" s="8">
        <f t="shared" si="14"/>
        <v>1404.84</v>
      </c>
      <c r="P213" t="s">
        <v>220</v>
      </c>
    </row>
    <row r="214" spans="1:16" x14ac:dyDescent="0.3">
      <c r="A214" s="6">
        <v>213</v>
      </c>
      <c r="B214" s="37">
        <v>45744</v>
      </c>
      <c r="C214" s="2" t="str">
        <f t="shared" si="12"/>
        <v>Mar</v>
      </c>
      <c r="D214" s="6">
        <f t="shared" si="13"/>
        <v>2025</v>
      </c>
      <c r="E214" s="6">
        <v>96</v>
      </c>
      <c r="F214" s="4" t="s">
        <v>105</v>
      </c>
      <c r="G214" s="6">
        <v>69</v>
      </c>
      <c r="H214" t="s">
        <v>16</v>
      </c>
      <c r="I214" t="s">
        <v>17</v>
      </c>
      <c r="J214">
        <v>14</v>
      </c>
      <c r="K214" t="s">
        <v>81</v>
      </c>
      <c r="L214" t="s">
        <v>38</v>
      </c>
      <c r="M214" s="8">
        <v>1292.75</v>
      </c>
      <c r="N214" s="6">
        <v>3</v>
      </c>
      <c r="O214" s="8">
        <f t="shared" si="14"/>
        <v>3878.25</v>
      </c>
      <c r="P214" t="s">
        <v>222</v>
      </c>
    </row>
    <row r="215" spans="1:16" x14ac:dyDescent="0.3">
      <c r="A215" s="6">
        <v>214</v>
      </c>
      <c r="B215" s="37">
        <v>45477</v>
      </c>
      <c r="C215" s="2" t="str">
        <f t="shared" si="12"/>
        <v>Jul</v>
      </c>
      <c r="D215" s="6">
        <f t="shared" si="13"/>
        <v>2024</v>
      </c>
      <c r="E215" s="6">
        <v>115</v>
      </c>
      <c r="F215" s="4" t="s">
        <v>161</v>
      </c>
      <c r="G215" s="6">
        <v>68</v>
      </c>
      <c r="H215" t="s">
        <v>22</v>
      </c>
      <c r="I215" t="s">
        <v>23</v>
      </c>
      <c r="J215">
        <v>16</v>
      </c>
      <c r="K215" t="s">
        <v>64</v>
      </c>
      <c r="L215" t="s">
        <v>43</v>
      </c>
      <c r="M215" s="8">
        <v>1170.95</v>
      </c>
      <c r="N215" s="6">
        <v>5</v>
      </c>
      <c r="O215" s="8">
        <f t="shared" si="14"/>
        <v>5854.75</v>
      </c>
      <c r="P215" t="s">
        <v>220</v>
      </c>
    </row>
    <row r="216" spans="1:16" x14ac:dyDescent="0.3">
      <c r="A216" s="6">
        <v>215</v>
      </c>
      <c r="B216" s="37">
        <v>45738</v>
      </c>
      <c r="C216" s="2" t="str">
        <f t="shared" si="12"/>
        <v>Mar</v>
      </c>
      <c r="D216" s="6">
        <f t="shared" si="13"/>
        <v>2025</v>
      </c>
      <c r="E216" s="6">
        <v>11</v>
      </c>
      <c r="F216" s="4" t="s">
        <v>130</v>
      </c>
      <c r="G216" s="6">
        <v>52</v>
      </c>
      <c r="H216" t="s">
        <v>32</v>
      </c>
      <c r="I216" t="s">
        <v>33</v>
      </c>
      <c r="J216">
        <v>8</v>
      </c>
      <c r="K216" t="s">
        <v>78</v>
      </c>
      <c r="L216" t="s">
        <v>71</v>
      </c>
      <c r="M216" s="8">
        <v>1081.74</v>
      </c>
      <c r="N216" s="6">
        <v>6</v>
      </c>
      <c r="O216" s="8">
        <f t="shared" si="14"/>
        <v>6490.4400000000005</v>
      </c>
      <c r="P216" t="s">
        <v>221</v>
      </c>
    </row>
    <row r="217" spans="1:16" x14ac:dyDescent="0.3">
      <c r="A217" s="6">
        <v>216</v>
      </c>
      <c r="B217" s="37">
        <v>45795</v>
      </c>
      <c r="C217" s="2" t="str">
        <f t="shared" si="12"/>
        <v>May</v>
      </c>
      <c r="D217" s="6">
        <f t="shared" si="13"/>
        <v>2025</v>
      </c>
      <c r="E217" s="6">
        <v>15</v>
      </c>
      <c r="F217" s="4" t="s">
        <v>157</v>
      </c>
      <c r="G217" s="6">
        <v>24</v>
      </c>
      <c r="H217" t="s">
        <v>59</v>
      </c>
      <c r="I217" t="s">
        <v>33</v>
      </c>
      <c r="J217">
        <v>14</v>
      </c>
      <c r="K217" t="s">
        <v>81</v>
      </c>
      <c r="L217" t="s">
        <v>38</v>
      </c>
      <c r="M217" s="8">
        <v>1292.75</v>
      </c>
      <c r="N217" s="6">
        <v>1</v>
      </c>
      <c r="O217" s="8">
        <f t="shared" si="14"/>
        <v>1292.75</v>
      </c>
      <c r="P217" t="s">
        <v>222</v>
      </c>
    </row>
    <row r="218" spans="1:16" x14ac:dyDescent="0.3">
      <c r="A218" s="6">
        <v>217</v>
      </c>
      <c r="B218" s="37">
        <v>45773</v>
      </c>
      <c r="C218" s="2" t="str">
        <f t="shared" si="12"/>
        <v>Apr</v>
      </c>
      <c r="D218" s="6">
        <f t="shared" si="13"/>
        <v>2025</v>
      </c>
      <c r="E218" s="6">
        <v>23</v>
      </c>
      <c r="F218" s="4" t="s">
        <v>133</v>
      </c>
      <c r="G218" s="6">
        <v>49</v>
      </c>
      <c r="H218" t="s">
        <v>16</v>
      </c>
      <c r="I218" t="s">
        <v>17</v>
      </c>
      <c r="J218">
        <v>21</v>
      </c>
      <c r="K218" t="s">
        <v>66</v>
      </c>
      <c r="L218" t="s">
        <v>19</v>
      </c>
      <c r="M218" s="8">
        <v>842.75</v>
      </c>
      <c r="N218" s="6">
        <v>3</v>
      </c>
      <c r="O218" s="8">
        <f t="shared" si="14"/>
        <v>2528.25</v>
      </c>
      <c r="P218" t="s">
        <v>219</v>
      </c>
    </row>
    <row r="219" spans="1:16" x14ac:dyDescent="0.3">
      <c r="A219" s="6">
        <v>218</v>
      </c>
      <c r="B219" s="37">
        <v>45710</v>
      </c>
      <c r="C219" s="2" t="str">
        <f t="shared" si="12"/>
        <v>Feb</v>
      </c>
      <c r="D219" s="6">
        <f t="shared" si="13"/>
        <v>2025</v>
      </c>
      <c r="E219" s="6">
        <v>58</v>
      </c>
      <c r="F219" s="4" t="s">
        <v>114</v>
      </c>
      <c r="G219" s="6">
        <v>46</v>
      </c>
      <c r="H219" t="s">
        <v>52</v>
      </c>
      <c r="I219" t="s">
        <v>53</v>
      </c>
      <c r="J219">
        <v>19</v>
      </c>
      <c r="K219" t="s">
        <v>84</v>
      </c>
      <c r="L219" t="s">
        <v>43</v>
      </c>
      <c r="M219" s="8">
        <v>1048.43</v>
      </c>
      <c r="N219" s="6">
        <v>3</v>
      </c>
      <c r="O219" s="8">
        <f t="shared" si="14"/>
        <v>3145.29</v>
      </c>
      <c r="P219" t="s">
        <v>221</v>
      </c>
    </row>
    <row r="220" spans="1:16" x14ac:dyDescent="0.3">
      <c r="A220" s="6">
        <v>219</v>
      </c>
      <c r="B220" s="37">
        <v>45620</v>
      </c>
      <c r="C220" s="2" t="str">
        <f t="shared" si="12"/>
        <v>Nov</v>
      </c>
      <c r="D220" s="6">
        <f t="shared" si="13"/>
        <v>2024</v>
      </c>
      <c r="E220" s="6">
        <v>68</v>
      </c>
      <c r="F220" s="4" t="s">
        <v>142</v>
      </c>
      <c r="G220" s="6">
        <v>22</v>
      </c>
      <c r="H220" t="s">
        <v>52</v>
      </c>
      <c r="I220" t="s">
        <v>53</v>
      </c>
      <c r="J220">
        <v>29</v>
      </c>
      <c r="K220" t="s">
        <v>65</v>
      </c>
      <c r="L220" t="s">
        <v>25</v>
      </c>
      <c r="M220" s="8">
        <v>1136.55</v>
      </c>
      <c r="N220" s="6">
        <v>6</v>
      </c>
      <c r="O220" s="8">
        <f t="shared" si="14"/>
        <v>6819.2999999999993</v>
      </c>
      <c r="P220" t="s">
        <v>220</v>
      </c>
    </row>
    <row r="221" spans="1:16" x14ac:dyDescent="0.3">
      <c r="A221" s="6">
        <v>220</v>
      </c>
      <c r="B221" s="37">
        <v>45399</v>
      </c>
      <c r="C221" s="2" t="str">
        <f t="shared" si="12"/>
        <v>Apr</v>
      </c>
      <c r="D221" s="6">
        <f t="shared" si="13"/>
        <v>2024</v>
      </c>
      <c r="E221" s="6">
        <v>8</v>
      </c>
      <c r="F221" s="4" t="s">
        <v>118</v>
      </c>
      <c r="G221" s="6">
        <v>31</v>
      </c>
      <c r="H221" t="s">
        <v>16</v>
      </c>
      <c r="I221" t="s">
        <v>17</v>
      </c>
      <c r="J221">
        <v>1</v>
      </c>
      <c r="K221" t="s">
        <v>69</v>
      </c>
      <c r="L221" t="s">
        <v>29</v>
      </c>
      <c r="M221" s="8">
        <v>83.63</v>
      </c>
      <c r="N221" s="6">
        <v>2</v>
      </c>
      <c r="O221" s="8">
        <f t="shared" si="14"/>
        <v>167.26</v>
      </c>
      <c r="P221" t="s">
        <v>221</v>
      </c>
    </row>
    <row r="222" spans="1:16" x14ac:dyDescent="0.3">
      <c r="A222" s="6">
        <v>221</v>
      </c>
      <c r="B222" s="37">
        <v>45629</v>
      </c>
      <c r="C222" s="2" t="str">
        <f t="shared" si="12"/>
        <v>Dec</v>
      </c>
      <c r="D222" s="6">
        <f t="shared" si="13"/>
        <v>2024</v>
      </c>
      <c r="E222" s="6">
        <v>70</v>
      </c>
      <c r="F222" s="4" t="s">
        <v>162</v>
      </c>
      <c r="G222" s="6">
        <v>44</v>
      </c>
      <c r="H222" t="s">
        <v>32</v>
      </c>
      <c r="I222" t="s">
        <v>33</v>
      </c>
      <c r="J222">
        <v>19</v>
      </c>
      <c r="K222" t="s">
        <v>84</v>
      </c>
      <c r="L222" t="s">
        <v>43</v>
      </c>
      <c r="M222" s="8">
        <v>1048.43</v>
      </c>
      <c r="N222" s="6">
        <v>4</v>
      </c>
      <c r="O222" s="8">
        <f t="shared" si="14"/>
        <v>4193.72</v>
      </c>
      <c r="P222" t="s">
        <v>220</v>
      </c>
    </row>
    <row r="223" spans="1:16" x14ac:dyDescent="0.3">
      <c r="A223" s="6">
        <v>222</v>
      </c>
      <c r="B223" s="37">
        <v>46002</v>
      </c>
      <c r="C223" s="2" t="str">
        <f t="shared" si="12"/>
        <v>Dec</v>
      </c>
      <c r="D223" s="6">
        <f t="shared" si="13"/>
        <v>2025</v>
      </c>
      <c r="E223" s="6">
        <v>12</v>
      </c>
      <c r="F223" s="4" t="s">
        <v>119</v>
      </c>
      <c r="G223" s="6">
        <v>36</v>
      </c>
      <c r="H223" t="s">
        <v>32</v>
      </c>
      <c r="I223" t="s">
        <v>33</v>
      </c>
      <c r="J223">
        <v>7</v>
      </c>
      <c r="K223" t="s">
        <v>80</v>
      </c>
      <c r="L223" t="s">
        <v>71</v>
      </c>
      <c r="M223" s="8">
        <v>869.87</v>
      </c>
      <c r="N223" s="6">
        <v>4</v>
      </c>
      <c r="O223" s="8">
        <f t="shared" si="14"/>
        <v>3479.48</v>
      </c>
      <c r="P223" t="s">
        <v>219</v>
      </c>
    </row>
    <row r="224" spans="1:16" x14ac:dyDescent="0.3">
      <c r="A224" s="6">
        <v>223</v>
      </c>
      <c r="B224" s="37">
        <v>45587</v>
      </c>
      <c r="C224" s="2" t="str">
        <f t="shared" si="12"/>
        <v>Oct</v>
      </c>
      <c r="D224" s="6">
        <f t="shared" si="13"/>
        <v>2024</v>
      </c>
      <c r="E224" s="6">
        <v>115</v>
      </c>
      <c r="F224" s="4" t="s">
        <v>161</v>
      </c>
      <c r="G224" s="6">
        <v>68</v>
      </c>
      <c r="H224" t="s">
        <v>22</v>
      </c>
      <c r="I224" t="s">
        <v>23</v>
      </c>
      <c r="J224">
        <v>30</v>
      </c>
      <c r="K224" t="s">
        <v>73</v>
      </c>
      <c r="L224" t="s">
        <v>25</v>
      </c>
      <c r="M224" s="8">
        <v>672.22</v>
      </c>
      <c r="N224" s="6">
        <v>6</v>
      </c>
      <c r="O224" s="8">
        <f t="shared" si="14"/>
        <v>4033.32</v>
      </c>
      <c r="P224" t="s">
        <v>221</v>
      </c>
    </row>
    <row r="225" spans="1:16" x14ac:dyDescent="0.3">
      <c r="A225" s="6">
        <v>224</v>
      </c>
      <c r="B225" s="37">
        <v>45702</v>
      </c>
      <c r="C225" s="2" t="str">
        <f t="shared" si="12"/>
        <v>Feb</v>
      </c>
      <c r="D225" s="6">
        <f t="shared" si="13"/>
        <v>2025</v>
      </c>
      <c r="E225" s="6">
        <v>33</v>
      </c>
      <c r="F225" s="4" t="s">
        <v>140</v>
      </c>
      <c r="G225" s="6">
        <v>64</v>
      </c>
      <c r="H225" t="s">
        <v>52</v>
      </c>
      <c r="I225" t="s">
        <v>53</v>
      </c>
      <c r="J225">
        <v>2</v>
      </c>
      <c r="K225" t="s">
        <v>34</v>
      </c>
      <c r="L225" t="s">
        <v>29</v>
      </c>
      <c r="M225" s="8">
        <v>1476.14</v>
      </c>
      <c r="N225" s="6">
        <v>5</v>
      </c>
      <c r="O225" s="8">
        <f t="shared" si="14"/>
        <v>7380.7000000000007</v>
      </c>
      <c r="P225" t="s">
        <v>220</v>
      </c>
    </row>
    <row r="226" spans="1:16" x14ac:dyDescent="0.3">
      <c r="A226" s="6">
        <v>225</v>
      </c>
      <c r="B226" s="37">
        <v>45329</v>
      </c>
      <c r="C226" s="2" t="str">
        <f t="shared" si="12"/>
        <v>Feb</v>
      </c>
      <c r="D226" s="6">
        <f t="shared" si="13"/>
        <v>2024</v>
      </c>
      <c r="E226" s="6">
        <v>24</v>
      </c>
      <c r="F226" s="4" t="s">
        <v>171</v>
      </c>
      <c r="G226" s="6">
        <v>26</v>
      </c>
      <c r="H226" t="s">
        <v>52</v>
      </c>
      <c r="I226" t="s">
        <v>53</v>
      </c>
      <c r="J226">
        <v>28</v>
      </c>
      <c r="K226" t="s">
        <v>77</v>
      </c>
      <c r="L226" t="s">
        <v>25</v>
      </c>
      <c r="M226" s="8">
        <v>486.19</v>
      </c>
      <c r="N226" s="6">
        <v>4</v>
      </c>
      <c r="O226" s="8">
        <f t="shared" si="14"/>
        <v>1944.76</v>
      </c>
      <c r="P226" t="s">
        <v>222</v>
      </c>
    </row>
    <row r="227" spans="1:16" x14ac:dyDescent="0.3">
      <c r="A227" s="6">
        <v>226</v>
      </c>
      <c r="B227" s="37">
        <v>45382</v>
      </c>
      <c r="C227" s="2" t="str">
        <f t="shared" si="12"/>
        <v>Mar</v>
      </c>
      <c r="D227" s="6">
        <f t="shared" si="13"/>
        <v>2024</v>
      </c>
      <c r="E227" s="6">
        <v>32</v>
      </c>
      <c r="F227" s="4" t="s">
        <v>116</v>
      </c>
      <c r="G227" s="6">
        <v>45</v>
      </c>
      <c r="H227" t="s">
        <v>16</v>
      </c>
      <c r="I227" t="s">
        <v>17</v>
      </c>
      <c r="J227">
        <v>27</v>
      </c>
      <c r="K227" t="s">
        <v>24</v>
      </c>
      <c r="L227" t="s">
        <v>25</v>
      </c>
      <c r="M227" s="8">
        <v>845</v>
      </c>
      <c r="N227" s="6">
        <v>3</v>
      </c>
      <c r="O227" s="8">
        <f t="shared" si="14"/>
        <v>2535</v>
      </c>
      <c r="P227" t="s">
        <v>219</v>
      </c>
    </row>
    <row r="228" spans="1:16" x14ac:dyDescent="0.3">
      <c r="A228" s="6">
        <v>227</v>
      </c>
      <c r="B228" s="37">
        <v>45550</v>
      </c>
      <c r="C228" s="2" t="str">
        <f t="shared" si="12"/>
        <v>Sept</v>
      </c>
      <c r="D228" s="6">
        <f t="shared" si="13"/>
        <v>2024</v>
      </c>
      <c r="E228" s="6">
        <v>92</v>
      </c>
      <c r="F228" s="4" t="s">
        <v>141</v>
      </c>
      <c r="G228" s="6">
        <v>40</v>
      </c>
      <c r="H228" t="s">
        <v>49</v>
      </c>
      <c r="I228" t="s">
        <v>50</v>
      </c>
      <c r="J228">
        <v>19</v>
      </c>
      <c r="K228" t="s">
        <v>84</v>
      </c>
      <c r="L228" t="s">
        <v>43</v>
      </c>
      <c r="M228" s="8">
        <v>1048.43</v>
      </c>
      <c r="N228" s="6">
        <v>3</v>
      </c>
      <c r="O228" s="8">
        <f t="shared" si="14"/>
        <v>3145.29</v>
      </c>
      <c r="P228" t="s">
        <v>220</v>
      </c>
    </row>
    <row r="229" spans="1:16" x14ac:dyDescent="0.3">
      <c r="A229" s="6">
        <v>228</v>
      </c>
      <c r="B229" s="37">
        <v>45410</v>
      </c>
      <c r="C229" s="2" t="str">
        <f t="shared" si="12"/>
        <v>Apr</v>
      </c>
      <c r="D229" s="6">
        <f t="shared" si="13"/>
        <v>2024</v>
      </c>
      <c r="E229" s="6">
        <v>30</v>
      </c>
      <c r="F229" s="4" t="s">
        <v>135</v>
      </c>
      <c r="G229" s="6">
        <v>61</v>
      </c>
      <c r="H229" t="s">
        <v>22</v>
      </c>
      <c r="I229" t="s">
        <v>23</v>
      </c>
      <c r="J229">
        <v>18</v>
      </c>
      <c r="K229" t="s">
        <v>68</v>
      </c>
      <c r="L229" t="s">
        <v>43</v>
      </c>
      <c r="M229" s="8">
        <v>1209.0999999999999</v>
      </c>
      <c r="N229" s="6">
        <v>4</v>
      </c>
      <c r="O229" s="8">
        <f t="shared" si="14"/>
        <v>4836.3999999999996</v>
      </c>
      <c r="P229" t="s">
        <v>219</v>
      </c>
    </row>
    <row r="230" spans="1:16" x14ac:dyDescent="0.3">
      <c r="A230" s="6">
        <v>229</v>
      </c>
      <c r="B230" s="37">
        <v>45818</v>
      </c>
      <c r="C230" s="2" t="str">
        <f t="shared" si="12"/>
        <v>Jun</v>
      </c>
      <c r="D230" s="6">
        <f t="shared" si="13"/>
        <v>2025</v>
      </c>
      <c r="E230" s="6">
        <v>68</v>
      </c>
      <c r="F230" s="4" t="s">
        <v>142</v>
      </c>
      <c r="G230" s="6">
        <v>22</v>
      </c>
      <c r="H230" t="s">
        <v>52</v>
      </c>
      <c r="I230" t="s">
        <v>53</v>
      </c>
      <c r="J230">
        <v>28</v>
      </c>
      <c r="K230" t="s">
        <v>77</v>
      </c>
      <c r="L230" t="s">
        <v>25</v>
      </c>
      <c r="M230" s="8">
        <v>486.19</v>
      </c>
      <c r="N230" s="6">
        <v>1</v>
      </c>
      <c r="O230" s="8">
        <f t="shared" si="14"/>
        <v>486.19</v>
      </c>
      <c r="P230" t="s">
        <v>222</v>
      </c>
    </row>
    <row r="231" spans="1:16" x14ac:dyDescent="0.3">
      <c r="A231" s="6">
        <v>230</v>
      </c>
      <c r="B231" s="37">
        <v>45965</v>
      </c>
      <c r="C231" s="2" t="str">
        <f t="shared" si="12"/>
        <v>Nov</v>
      </c>
      <c r="D231" s="6">
        <f t="shared" si="13"/>
        <v>2025</v>
      </c>
      <c r="E231" s="6">
        <v>34</v>
      </c>
      <c r="F231" s="4" t="s">
        <v>179</v>
      </c>
      <c r="G231" s="6">
        <v>58</v>
      </c>
      <c r="H231" t="s">
        <v>52</v>
      </c>
      <c r="I231" t="s">
        <v>53</v>
      </c>
      <c r="J231">
        <v>17</v>
      </c>
      <c r="K231" t="s">
        <v>42</v>
      </c>
      <c r="L231" t="s">
        <v>43</v>
      </c>
      <c r="M231" s="8">
        <v>339.98</v>
      </c>
      <c r="N231" s="6">
        <v>5</v>
      </c>
      <c r="O231" s="8">
        <f t="shared" si="14"/>
        <v>1699.9</v>
      </c>
      <c r="P231" t="s">
        <v>221</v>
      </c>
    </row>
    <row r="232" spans="1:16" x14ac:dyDescent="0.3">
      <c r="A232" s="6">
        <v>231</v>
      </c>
      <c r="B232" s="37">
        <v>45765</v>
      </c>
      <c r="C232" s="2" t="str">
        <f t="shared" si="12"/>
        <v>Apr</v>
      </c>
      <c r="D232" s="6">
        <f t="shared" si="13"/>
        <v>2025</v>
      </c>
      <c r="E232" s="6">
        <v>94</v>
      </c>
      <c r="F232" s="4" t="s">
        <v>172</v>
      </c>
      <c r="G232" s="6">
        <v>69</v>
      </c>
      <c r="H232" t="s">
        <v>49</v>
      </c>
      <c r="I232" t="s">
        <v>50</v>
      </c>
      <c r="J232">
        <v>14</v>
      </c>
      <c r="K232" t="s">
        <v>81</v>
      </c>
      <c r="L232" t="s">
        <v>38</v>
      </c>
      <c r="M232" s="8">
        <v>1292.75</v>
      </c>
      <c r="N232" s="6">
        <v>4</v>
      </c>
      <c r="O232" s="8">
        <f t="shared" si="14"/>
        <v>5171</v>
      </c>
      <c r="P232" t="s">
        <v>222</v>
      </c>
    </row>
    <row r="233" spans="1:16" x14ac:dyDescent="0.3">
      <c r="A233" s="6">
        <v>232</v>
      </c>
      <c r="B233" s="37">
        <v>45347</v>
      </c>
      <c r="C233" s="2" t="str">
        <f t="shared" si="12"/>
        <v>Feb</v>
      </c>
      <c r="D233" s="6">
        <f t="shared" si="13"/>
        <v>2024</v>
      </c>
      <c r="E233" s="6">
        <v>53</v>
      </c>
      <c r="F233" s="4" t="s">
        <v>124</v>
      </c>
      <c r="G233" s="6">
        <v>47</v>
      </c>
      <c r="H233" t="s">
        <v>16</v>
      </c>
      <c r="I233" t="s">
        <v>17</v>
      </c>
      <c r="J233">
        <v>28</v>
      </c>
      <c r="K233" t="s">
        <v>77</v>
      </c>
      <c r="L233" t="s">
        <v>25</v>
      </c>
      <c r="M233" s="8">
        <v>486.19</v>
      </c>
      <c r="N233" s="6">
        <v>2</v>
      </c>
      <c r="O233" s="8">
        <f t="shared" si="14"/>
        <v>972.38</v>
      </c>
      <c r="P233" t="s">
        <v>220</v>
      </c>
    </row>
    <row r="234" spans="1:16" x14ac:dyDescent="0.3">
      <c r="A234" s="6">
        <v>233</v>
      </c>
      <c r="B234" s="37">
        <v>45822</v>
      </c>
      <c r="C234" s="2" t="str">
        <f t="shared" si="12"/>
        <v>Jun</v>
      </c>
      <c r="D234" s="6">
        <f t="shared" si="13"/>
        <v>2025</v>
      </c>
      <c r="E234" s="6">
        <v>106</v>
      </c>
      <c r="F234" s="4" t="s">
        <v>151</v>
      </c>
      <c r="G234" s="6">
        <v>30</v>
      </c>
      <c r="H234" t="s">
        <v>59</v>
      </c>
      <c r="I234" t="s">
        <v>33</v>
      </c>
      <c r="J234">
        <v>18</v>
      </c>
      <c r="K234" t="s">
        <v>68</v>
      </c>
      <c r="L234" t="s">
        <v>43</v>
      </c>
      <c r="M234" s="8">
        <v>1209.0999999999999</v>
      </c>
      <c r="N234" s="6">
        <v>3</v>
      </c>
      <c r="O234" s="8">
        <f t="shared" si="14"/>
        <v>3627.2999999999997</v>
      </c>
      <c r="P234" t="s">
        <v>220</v>
      </c>
    </row>
    <row r="235" spans="1:16" x14ac:dyDescent="0.3">
      <c r="A235" s="6">
        <v>234</v>
      </c>
      <c r="B235" s="37">
        <v>45929</v>
      </c>
      <c r="C235" s="2" t="str">
        <f t="shared" si="12"/>
        <v>Sept</v>
      </c>
      <c r="D235" s="6">
        <f t="shared" si="13"/>
        <v>2025</v>
      </c>
      <c r="E235" s="6">
        <v>82</v>
      </c>
      <c r="F235" s="4" t="s">
        <v>133</v>
      </c>
      <c r="G235" s="6">
        <v>58</v>
      </c>
      <c r="H235" t="s">
        <v>16</v>
      </c>
      <c r="I235" t="s">
        <v>17</v>
      </c>
      <c r="J235">
        <v>8</v>
      </c>
      <c r="K235" t="s">
        <v>78</v>
      </c>
      <c r="L235" t="s">
        <v>71</v>
      </c>
      <c r="M235" s="8">
        <v>1081.74</v>
      </c>
      <c r="N235" s="6">
        <v>4</v>
      </c>
      <c r="O235" s="8">
        <f t="shared" si="14"/>
        <v>4326.96</v>
      </c>
      <c r="P235" t="s">
        <v>221</v>
      </c>
    </row>
    <row r="236" spans="1:16" x14ac:dyDescent="0.3">
      <c r="A236" s="6">
        <v>235</v>
      </c>
      <c r="B236" s="37">
        <v>45932</v>
      </c>
      <c r="C236" s="2" t="str">
        <f t="shared" si="12"/>
        <v>Oct</v>
      </c>
      <c r="D236" s="6">
        <f t="shared" si="13"/>
        <v>2025</v>
      </c>
      <c r="E236" s="6">
        <v>44</v>
      </c>
      <c r="F236" s="4" t="s">
        <v>148</v>
      </c>
      <c r="G236" s="6">
        <v>43</v>
      </c>
      <c r="H236" t="s">
        <v>49</v>
      </c>
      <c r="I236" t="s">
        <v>50</v>
      </c>
      <c r="J236">
        <v>2</v>
      </c>
      <c r="K236" t="s">
        <v>34</v>
      </c>
      <c r="L236" t="s">
        <v>29</v>
      </c>
      <c r="M236" s="8">
        <v>1476.14</v>
      </c>
      <c r="N236" s="6">
        <v>4</v>
      </c>
      <c r="O236" s="8">
        <f t="shared" si="14"/>
        <v>5904.56</v>
      </c>
      <c r="P236" t="s">
        <v>220</v>
      </c>
    </row>
    <row r="237" spans="1:16" x14ac:dyDescent="0.3">
      <c r="A237" s="6">
        <v>236</v>
      </c>
      <c r="B237" s="37">
        <v>45344</v>
      </c>
      <c r="C237" s="2" t="str">
        <f t="shared" si="12"/>
        <v>Feb</v>
      </c>
      <c r="D237" s="6">
        <f t="shared" si="13"/>
        <v>2024</v>
      </c>
      <c r="E237" s="6">
        <v>15</v>
      </c>
      <c r="F237" s="4" t="s">
        <v>157</v>
      </c>
      <c r="G237" s="6">
        <v>24</v>
      </c>
      <c r="H237" t="s">
        <v>59</v>
      </c>
      <c r="I237" t="s">
        <v>33</v>
      </c>
      <c r="J237">
        <v>22</v>
      </c>
      <c r="K237" t="s">
        <v>85</v>
      </c>
      <c r="L237" t="s">
        <v>19</v>
      </c>
      <c r="M237" s="8">
        <v>1377.44</v>
      </c>
      <c r="N237" s="6">
        <v>2</v>
      </c>
      <c r="O237" s="8">
        <f t="shared" si="14"/>
        <v>2754.88</v>
      </c>
      <c r="P237" t="s">
        <v>222</v>
      </c>
    </row>
    <row r="238" spans="1:16" x14ac:dyDescent="0.3">
      <c r="A238" s="6">
        <v>237</v>
      </c>
      <c r="B238" s="37">
        <v>45565</v>
      </c>
      <c r="C238" s="2" t="str">
        <f t="shared" si="12"/>
        <v>Sept</v>
      </c>
      <c r="D238" s="6">
        <f t="shared" si="13"/>
        <v>2024</v>
      </c>
      <c r="E238" s="6">
        <v>38</v>
      </c>
      <c r="F238" s="4" t="s">
        <v>177</v>
      </c>
      <c r="G238" s="6">
        <v>54</v>
      </c>
      <c r="H238" t="s">
        <v>49</v>
      </c>
      <c r="I238" t="s">
        <v>50</v>
      </c>
      <c r="J238">
        <v>20</v>
      </c>
      <c r="K238" t="s">
        <v>58</v>
      </c>
      <c r="L238" t="s">
        <v>43</v>
      </c>
      <c r="M238" s="8">
        <v>704.86</v>
      </c>
      <c r="N238" s="6">
        <v>5</v>
      </c>
      <c r="O238" s="8">
        <f t="shared" si="14"/>
        <v>3524.3</v>
      </c>
      <c r="P238" t="s">
        <v>220</v>
      </c>
    </row>
    <row r="239" spans="1:16" x14ac:dyDescent="0.3">
      <c r="A239" s="6">
        <v>238</v>
      </c>
      <c r="B239" s="37">
        <v>45426</v>
      </c>
      <c r="C239" s="2" t="str">
        <f t="shared" si="12"/>
        <v>May</v>
      </c>
      <c r="D239" s="6">
        <f t="shared" si="13"/>
        <v>2024</v>
      </c>
      <c r="E239" s="6">
        <v>64</v>
      </c>
      <c r="F239" s="4" t="s">
        <v>186</v>
      </c>
      <c r="G239" s="6">
        <v>36</v>
      </c>
      <c r="H239" t="s">
        <v>52</v>
      </c>
      <c r="I239" t="s">
        <v>53</v>
      </c>
      <c r="J239">
        <v>11</v>
      </c>
      <c r="K239" t="s">
        <v>55</v>
      </c>
      <c r="L239" t="s">
        <v>38</v>
      </c>
      <c r="M239" s="8">
        <v>234.14</v>
      </c>
      <c r="N239" s="6">
        <v>3</v>
      </c>
      <c r="O239" s="8">
        <f t="shared" si="14"/>
        <v>702.42</v>
      </c>
      <c r="P239" t="s">
        <v>219</v>
      </c>
    </row>
    <row r="240" spans="1:16" x14ac:dyDescent="0.3">
      <c r="A240" s="6">
        <v>239</v>
      </c>
      <c r="B240" s="37">
        <v>45740</v>
      </c>
      <c r="C240" s="2" t="str">
        <f t="shared" si="12"/>
        <v>Mar</v>
      </c>
      <c r="D240" s="6">
        <f t="shared" si="13"/>
        <v>2025</v>
      </c>
      <c r="E240" s="6">
        <v>74</v>
      </c>
      <c r="F240" s="4" t="s">
        <v>173</v>
      </c>
      <c r="G240" s="6">
        <v>57</v>
      </c>
      <c r="H240" t="s">
        <v>59</v>
      </c>
      <c r="I240" t="s">
        <v>33</v>
      </c>
      <c r="J240">
        <v>3</v>
      </c>
      <c r="K240" t="s">
        <v>28</v>
      </c>
      <c r="L240" t="s">
        <v>29</v>
      </c>
      <c r="M240" s="8">
        <v>922.74</v>
      </c>
      <c r="N240" s="6">
        <v>6</v>
      </c>
      <c r="O240" s="8">
        <f t="shared" si="14"/>
        <v>5536.4400000000005</v>
      </c>
      <c r="P240" t="s">
        <v>222</v>
      </c>
    </row>
    <row r="241" spans="1:16" x14ac:dyDescent="0.3">
      <c r="A241" s="6">
        <v>240</v>
      </c>
      <c r="B241" s="37">
        <v>45788</v>
      </c>
      <c r="C241" s="2" t="str">
        <f t="shared" si="12"/>
        <v>May</v>
      </c>
      <c r="D241" s="6">
        <f t="shared" si="13"/>
        <v>2025</v>
      </c>
      <c r="E241" s="6">
        <v>48</v>
      </c>
      <c r="F241" s="4" t="s">
        <v>114</v>
      </c>
      <c r="G241" s="6">
        <v>20</v>
      </c>
      <c r="H241" t="s">
        <v>32</v>
      </c>
      <c r="I241" t="s">
        <v>33</v>
      </c>
      <c r="J241">
        <v>9</v>
      </c>
      <c r="K241" t="s">
        <v>76</v>
      </c>
      <c r="L241" t="s">
        <v>71</v>
      </c>
      <c r="M241" s="8">
        <v>585.21</v>
      </c>
      <c r="N241" s="6">
        <v>1</v>
      </c>
      <c r="O241" s="8">
        <f t="shared" si="14"/>
        <v>585.21</v>
      </c>
      <c r="P241" t="s">
        <v>221</v>
      </c>
    </row>
    <row r="242" spans="1:16" x14ac:dyDescent="0.3">
      <c r="A242" s="6">
        <v>241</v>
      </c>
      <c r="B242" s="37">
        <v>45321</v>
      </c>
      <c r="C242" s="2" t="str">
        <f t="shared" si="12"/>
        <v>Jan</v>
      </c>
      <c r="D242" s="6">
        <f t="shared" si="13"/>
        <v>2024</v>
      </c>
      <c r="E242" s="6">
        <v>61</v>
      </c>
      <c r="F242" s="4" t="s">
        <v>146</v>
      </c>
      <c r="G242" s="6">
        <v>43</v>
      </c>
      <c r="H242" t="s">
        <v>52</v>
      </c>
      <c r="I242" t="s">
        <v>53</v>
      </c>
      <c r="J242">
        <v>18</v>
      </c>
      <c r="K242" t="s">
        <v>68</v>
      </c>
      <c r="L242" t="s">
        <v>43</v>
      </c>
      <c r="M242" s="8">
        <v>1209.0999999999999</v>
      </c>
      <c r="N242" s="6">
        <v>6</v>
      </c>
      <c r="O242" s="8">
        <f t="shared" si="14"/>
        <v>7254.5999999999995</v>
      </c>
      <c r="P242" t="s">
        <v>221</v>
      </c>
    </row>
    <row r="243" spans="1:16" x14ac:dyDescent="0.3">
      <c r="A243" s="6">
        <v>242</v>
      </c>
      <c r="B243" s="37">
        <v>45915</v>
      </c>
      <c r="C243" s="2" t="str">
        <f t="shared" si="12"/>
        <v>Sept</v>
      </c>
      <c r="D243" s="6">
        <f t="shared" si="13"/>
        <v>2025</v>
      </c>
      <c r="E243" s="6">
        <v>111</v>
      </c>
      <c r="F243" s="4" t="s">
        <v>139</v>
      </c>
      <c r="G243" s="6">
        <v>62</v>
      </c>
      <c r="H243" t="s">
        <v>32</v>
      </c>
      <c r="I243" t="s">
        <v>33</v>
      </c>
      <c r="J243">
        <v>27</v>
      </c>
      <c r="K243" t="s">
        <v>24</v>
      </c>
      <c r="L243" t="s">
        <v>25</v>
      </c>
      <c r="M243" s="8">
        <v>845</v>
      </c>
      <c r="N243" s="6">
        <v>2</v>
      </c>
      <c r="O243" s="8">
        <f t="shared" si="14"/>
        <v>1690</v>
      </c>
      <c r="P243" t="s">
        <v>220</v>
      </c>
    </row>
    <row r="244" spans="1:16" x14ac:dyDescent="0.3">
      <c r="A244" s="6">
        <v>243</v>
      </c>
      <c r="B244" s="37">
        <v>46018</v>
      </c>
      <c r="C244" s="2" t="str">
        <f t="shared" si="12"/>
        <v>Dec</v>
      </c>
      <c r="D244" s="6">
        <f t="shared" si="13"/>
        <v>2025</v>
      </c>
      <c r="E244" s="6">
        <v>1</v>
      </c>
      <c r="F244" s="4" t="s">
        <v>140</v>
      </c>
      <c r="G244" s="6">
        <v>35</v>
      </c>
      <c r="H244" t="s">
        <v>59</v>
      </c>
      <c r="I244" t="s">
        <v>33</v>
      </c>
      <c r="J244">
        <v>12</v>
      </c>
      <c r="K244" t="s">
        <v>37</v>
      </c>
      <c r="L244" t="s">
        <v>38</v>
      </c>
      <c r="M244" s="8">
        <v>1036.1199999999999</v>
      </c>
      <c r="N244" s="6">
        <v>2</v>
      </c>
      <c r="O244" s="8">
        <f t="shared" si="14"/>
        <v>2072.2399999999998</v>
      </c>
      <c r="P244" t="s">
        <v>219</v>
      </c>
    </row>
    <row r="245" spans="1:16" x14ac:dyDescent="0.3">
      <c r="A245" s="6">
        <v>244</v>
      </c>
      <c r="B245" s="37">
        <v>45610</v>
      </c>
      <c r="C245" s="2" t="str">
        <f t="shared" si="12"/>
        <v>Nov</v>
      </c>
      <c r="D245" s="6">
        <f t="shared" si="13"/>
        <v>2024</v>
      </c>
      <c r="E245" s="6">
        <v>71</v>
      </c>
      <c r="F245" s="4" t="s">
        <v>138</v>
      </c>
      <c r="G245" s="6">
        <v>31</v>
      </c>
      <c r="H245" t="s">
        <v>16</v>
      </c>
      <c r="I245" t="s">
        <v>17</v>
      </c>
      <c r="J245">
        <v>16</v>
      </c>
      <c r="K245" t="s">
        <v>64</v>
      </c>
      <c r="L245" t="s">
        <v>43</v>
      </c>
      <c r="M245" s="8">
        <v>1170.95</v>
      </c>
      <c r="N245" s="6">
        <v>5</v>
      </c>
      <c r="O245" s="8">
        <f t="shared" si="14"/>
        <v>5854.75</v>
      </c>
      <c r="P245" t="s">
        <v>222</v>
      </c>
    </row>
    <row r="246" spans="1:16" x14ac:dyDescent="0.3">
      <c r="A246" s="6">
        <v>245</v>
      </c>
      <c r="B246" s="37">
        <v>45306</v>
      </c>
      <c r="C246" s="2" t="str">
        <f t="shared" si="12"/>
        <v>Jan</v>
      </c>
      <c r="D246" s="6">
        <f t="shared" si="13"/>
        <v>2024</v>
      </c>
      <c r="E246" s="6">
        <v>22</v>
      </c>
      <c r="F246" s="4" t="s">
        <v>125</v>
      </c>
      <c r="G246" s="6">
        <v>31</v>
      </c>
      <c r="H246" t="s">
        <v>32</v>
      </c>
      <c r="I246" t="s">
        <v>33</v>
      </c>
      <c r="J246">
        <v>16</v>
      </c>
      <c r="K246" t="s">
        <v>64</v>
      </c>
      <c r="L246" t="s">
        <v>43</v>
      </c>
      <c r="M246" s="8">
        <v>1170.95</v>
      </c>
      <c r="N246" s="6">
        <v>5</v>
      </c>
      <c r="O246" s="8">
        <f t="shared" si="14"/>
        <v>5854.75</v>
      </c>
      <c r="P246" t="s">
        <v>220</v>
      </c>
    </row>
    <row r="247" spans="1:16" x14ac:dyDescent="0.3">
      <c r="A247" s="6">
        <v>246</v>
      </c>
      <c r="B247" s="37">
        <v>45709</v>
      </c>
      <c r="C247" s="2" t="str">
        <f t="shared" si="12"/>
        <v>Feb</v>
      </c>
      <c r="D247" s="6">
        <f t="shared" si="13"/>
        <v>2025</v>
      </c>
      <c r="E247" s="6">
        <v>25</v>
      </c>
      <c r="F247" s="4" t="s">
        <v>137</v>
      </c>
      <c r="G247" s="6">
        <v>45</v>
      </c>
      <c r="H247" t="s">
        <v>22</v>
      </c>
      <c r="I247" t="s">
        <v>23</v>
      </c>
      <c r="J247">
        <v>13</v>
      </c>
      <c r="K247" t="s">
        <v>40</v>
      </c>
      <c r="L247" t="s">
        <v>38</v>
      </c>
      <c r="M247" s="8">
        <v>1340.6</v>
      </c>
      <c r="N247" s="6">
        <v>1</v>
      </c>
      <c r="O247" s="8">
        <f t="shared" si="14"/>
        <v>1340.6</v>
      </c>
      <c r="P247" t="s">
        <v>222</v>
      </c>
    </row>
    <row r="248" spans="1:16" x14ac:dyDescent="0.3">
      <c r="A248" s="6">
        <v>247</v>
      </c>
      <c r="B248" s="37">
        <v>45522</v>
      </c>
      <c r="C248" s="2" t="str">
        <f t="shared" si="12"/>
        <v>Aug</v>
      </c>
      <c r="D248" s="6">
        <f t="shared" si="13"/>
        <v>2024</v>
      </c>
      <c r="E248" s="6">
        <v>58</v>
      </c>
      <c r="F248" s="4" t="s">
        <v>114</v>
      </c>
      <c r="G248" s="6">
        <v>46</v>
      </c>
      <c r="H248" t="s">
        <v>52</v>
      </c>
      <c r="I248" t="s">
        <v>53</v>
      </c>
      <c r="J248">
        <v>7</v>
      </c>
      <c r="K248" t="s">
        <v>80</v>
      </c>
      <c r="L248" t="s">
        <v>71</v>
      </c>
      <c r="M248" s="8">
        <v>869.87</v>
      </c>
      <c r="N248" s="6">
        <v>1</v>
      </c>
      <c r="O248" s="8">
        <f t="shared" si="14"/>
        <v>869.87</v>
      </c>
      <c r="P248" t="s">
        <v>222</v>
      </c>
    </row>
    <row r="249" spans="1:16" x14ac:dyDescent="0.3">
      <c r="A249" s="6">
        <v>248</v>
      </c>
      <c r="B249" s="37">
        <v>45764</v>
      </c>
      <c r="C249" s="2" t="str">
        <f t="shared" si="12"/>
        <v>Apr</v>
      </c>
      <c r="D249" s="6">
        <f t="shared" si="13"/>
        <v>2025</v>
      </c>
      <c r="E249" s="6">
        <v>60</v>
      </c>
      <c r="F249" s="4" t="s">
        <v>110</v>
      </c>
      <c r="G249" s="6">
        <v>28</v>
      </c>
      <c r="H249" t="s">
        <v>32</v>
      </c>
      <c r="I249" t="s">
        <v>33</v>
      </c>
      <c r="J249">
        <v>3</v>
      </c>
      <c r="K249" t="s">
        <v>28</v>
      </c>
      <c r="L249" t="s">
        <v>29</v>
      </c>
      <c r="M249" s="8">
        <v>922.74</v>
      </c>
      <c r="N249" s="6">
        <v>1</v>
      </c>
      <c r="O249" s="8">
        <f t="shared" si="14"/>
        <v>922.74</v>
      </c>
      <c r="P249" t="s">
        <v>221</v>
      </c>
    </row>
    <row r="250" spans="1:16" x14ac:dyDescent="0.3">
      <c r="A250" s="6">
        <v>249</v>
      </c>
      <c r="B250" s="37">
        <v>45955</v>
      </c>
      <c r="C250" s="2" t="str">
        <f t="shared" si="12"/>
        <v>Oct</v>
      </c>
      <c r="D250" s="6">
        <f t="shared" si="13"/>
        <v>2025</v>
      </c>
      <c r="E250" s="6">
        <v>1</v>
      </c>
      <c r="F250" s="4" t="s">
        <v>140</v>
      </c>
      <c r="G250" s="6">
        <v>35</v>
      </c>
      <c r="H250" t="s">
        <v>59</v>
      </c>
      <c r="I250" t="s">
        <v>33</v>
      </c>
      <c r="J250">
        <v>17</v>
      </c>
      <c r="K250" t="s">
        <v>42</v>
      </c>
      <c r="L250" t="s">
        <v>43</v>
      </c>
      <c r="M250" s="8">
        <v>339.98</v>
      </c>
      <c r="N250" s="6">
        <v>2</v>
      </c>
      <c r="O250" s="8">
        <f t="shared" si="14"/>
        <v>679.96</v>
      </c>
      <c r="P250" t="s">
        <v>221</v>
      </c>
    </row>
    <row r="251" spans="1:16" x14ac:dyDescent="0.3">
      <c r="A251" s="6">
        <v>250</v>
      </c>
      <c r="B251" s="37">
        <v>45802</v>
      </c>
      <c r="C251" s="2" t="str">
        <f t="shared" si="12"/>
        <v>May</v>
      </c>
      <c r="D251" s="6">
        <f t="shared" si="13"/>
        <v>2025</v>
      </c>
      <c r="E251" s="6">
        <v>45</v>
      </c>
      <c r="F251" s="4" t="s">
        <v>132</v>
      </c>
      <c r="G251" s="6">
        <v>46</v>
      </c>
      <c r="H251" t="s">
        <v>16</v>
      </c>
      <c r="I251" t="s">
        <v>17</v>
      </c>
      <c r="J251">
        <v>21</v>
      </c>
      <c r="K251" t="s">
        <v>66</v>
      </c>
      <c r="L251" t="s">
        <v>19</v>
      </c>
      <c r="M251" s="8">
        <v>842.75</v>
      </c>
      <c r="N251" s="6">
        <v>6</v>
      </c>
      <c r="O251" s="8">
        <f t="shared" si="14"/>
        <v>5056.5</v>
      </c>
      <c r="P251" t="s">
        <v>222</v>
      </c>
    </row>
    <row r="252" spans="1:16" x14ac:dyDescent="0.3">
      <c r="A252" s="6">
        <v>251</v>
      </c>
      <c r="B252" s="37">
        <v>45590</v>
      </c>
      <c r="C252" s="2" t="str">
        <f t="shared" si="12"/>
        <v>Oct</v>
      </c>
      <c r="D252" s="6">
        <f t="shared" si="13"/>
        <v>2024</v>
      </c>
      <c r="E252" s="6">
        <v>39</v>
      </c>
      <c r="F252" s="4" t="s">
        <v>178</v>
      </c>
      <c r="G252" s="6">
        <v>49</v>
      </c>
      <c r="H252" t="s">
        <v>59</v>
      </c>
      <c r="I252" t="s">
        <v>33</v>
      </c>
      <c r="J252">
        <v>19</v>
      </c>
      <c r="K252" t="s">
        <v>84</v>
      </c>
      <c r="L252" t="s">
        <v>43</v>
      </c>
      <c r="M252" s="8">
        <v>1048.43</v>
      </c>
      <c r="N252" s="6">
        <v>5</v>
      </c>
      <c r="O252" s="8">
        <f t="shared" si="14"/>
        <v>5242.1500000000005</v>
      </c>
      <c r="P252" t="s">
        <v>221</v>
      </c>
    </row>
    <row r="253" spans="1:16" x14ac:dyDescent="0.3">
      <c r="A253" s="6">
        <v>252</v>
      </c>
      <c r="B253" s="37">
        <v>46014</v>
      </c>
      <c r="C253" s="2" t="str">
        <f t="shared" si="12"/>
        <v>Dec</v>
      </c>
      <c r="D253" s="6">
        <f t="shared" si="13"/>
        <v>2025</v>
      </c>
      <c r="E253" s="6">
        <v>113</v>
      </c>
      <c r="F253" s="4" t="s">
        <v>111</v>
      </c>
      <c r="G253" s="6">
        <v>29</v>
      </c>
      <c r="H253" t="s">
        <v>32</v>
      </c>
      <c r="I253" t="s">
        <v>33</v>
      </c>
      <c r="J253">
        <v>2</v>
      </c>
      <c r="K253" t="s">
        <v>34</v>
      </c>
      <c r="L253" t="s">
        <v>29</v>
      </c>
      <c r="M253" s="8">
        <v>1476.14</v>
      </c>
      <c r="N253" s="6">
        <v>3</v>
      </c>
      <c r="O253" s="8">
        <f t="shared" si="14"/>
        <v>4428.42</v>
      </c>
      <c r="P253" t="s">
        <v>220</v>
      </c>
    </row>
    <row r="254" spans="1:16" x14ac:dyDescent="0.3">
      <c r="A254" s="6">
        <v>253</v>
      </c>
      <c r="B254" s="37">
        <v>45717</v>
      </c>
      <c r="C254" s="2" t="str">
        <f t="shared" si="12"/>
        <v>Mar</v>
      </c>
      <c r="D254" s="6">
        <f t="shared" si="13"/>
        <v>2025</v>
      </c>
      <c r="E254" s="6">
        <v>96</v>
      </c>
      <c r="F254" s="4" t="s">
        <v>105</v>
      </c>
      <c r="G254" s="6">
        <v>69</v>
      </c>
      <c r="H254" t="s">
        <v>16</v>
      </c>
      <c r="I254" t="s">
        <v>17</v>
      </c>
      <c r="J254">
        <v>6</v>
      </c>
      <c r="K254" t="s">
        <v>86</v>
      </c>
      <c r="L254" t="s">
        <v>71</v>
      </c>
      <c r="M254" s="8">
        <v>1330.91</v>
      </c>
      <c r="N254" s="6">
        <v>4</v>
      </c>
      <c r="O254" s="8">
        <f t="shared" si="14"/>
        <v>5323.64</v>
      </c>
      <c r="P254" t="s">
        <v>222</v>
      </c>
    </row>
    <row r="255" spans="1:16" x14ac:dyDescent="0.3">
      <c r="A255" s="6">
        <v>254</v>
      </c>
      <c r="B255" s="37">
        <v>45775</v>
      </c>
      <c r="C255" s="2" t="str">
        <f t="shared" si="12"/>
        <v>Apr</v>
      </c>
      <c r="D255" s="6">
        <f t="shared" si="13"/>
        <v>2025</v>
      </c>
      <c r="E255" s="6">
        <v>44</v>
      </c>
      <c r="F255" s="4" t="s">
        <v>148</v>
      </c>
      <c r="G255" s="6">
        <v>43</v>
      </c>
      <c r="H255" t="s">
        <v>49</v>
      </c>
      <c r="I255" t="s">
        <v>50</v>
      </c>
      <c r="J255">
        <v>12</v>
      </c>
      <c r="K255" t="s">
        <v>37</v>
      </c>
      <c r="L255" t="s">
        <v>38</v>
      </c>
      <c r="M255" s="8">
        <v>1036.1199999999999</v>
      </c>
      <c r="N255" s="6">
        <v>2</v>
      </c>
      <c r="O255" s="8">
        <f t="shared" si="14"/>
        <v>2072.2399999999998</v>
      </c>
      <c r="P255" t="s">
        <v>219</v>
      </c>
    </row>
    <row r="256" spans="1:16" x14ac:dyDescent="0.3">
      <c r="A256" s="6">
        <v>255</v>
      </c>
      <c r="B256" s="37">
        <v>45759</v>
      </c>
      <c r="C256" s="2" t="str">
        <f t="shared" si="12"/>
        <v>Apr</v>
      </c>
      <c r="D256" s="6">
        <f t="shared" si="13"/>
        <v>2025</v>
      </c>
      <c r="E256" s="6">
        <v>90</v>
      </c>
      <c r="F256" s="4" t="s">
        <v>187</v>
      </c>
      <c r="G256" s="6">
        <v>20</v>
      </c>
      <c r="H256" t="s">
        <v>52</v>
      </c>
      <c r="I256" t="s">
        <v>53</v>
      </c>
      <c r="J256">
        <v>7</v>
      </c>
      <c r="K256" t="s">
        <v>80</v>
      </c>
      <c r="L256" t="s">
        <v>71</v>
      </c>
      <c r="M256" s="8">
        <v>869.87</v>
      </c>
      <c r="N256" s="6">
        <v>5</v>
      </c>
      <c r="O256" s="8">
        <f t="shared" si="14"/>
        <v>4349.3500000000004</v>
      </c>
      <c r="P256" t="s">
        <v>222</v>
      </c>
    </row>
    <row r="257" spans="1:16" x14ac:dyDescent="0.3">
      <c r="A257" s="6">
        <v>256</v>
      </c>
      <c r="B257" s="37">
        <v>45440</v>
      </c>
      <c r="C257" s="2" t="str">
        <f t="shared" si="12"/>
        <v>May</v>
      </c>
      <c r="D257" s="6">
        <f t="shared" si="13"/>
        <v>2024</v>
      </c>
      <c r="E257" s="6">
        <v>86</v>
      </c>
      <c r="F257" s="4" t="s">
        <v>170</v>
      </c>
      <c r="G257" s="6">
        <v>28</v>
      </c>
      <c r="H257" t="s">
        <v>52</v>
      </c>
      <c r="I257" t="s">
        <v>53</v>
      </c>
      <c r="J257">
        <v>23</v>
      </c>
      <c r="K257" t="s">
        <v>18</v>
      </c>
      <c r="L257" t="s">
        <v>19</v>
      </c>
      <c r="M257" s="8">
        <v>195.22</v>
      </c>
      <c r="N257" s="6">
        <v>4</v>
      </c>
      <c r="O257" s="8">
        <f t="shared" si="14"/>
        <v>780.88</v>
      </c>
      <c r="P257" t="s">
        <v>219</v>
      </c>
    </row>
    <row r="258" spans="1:16" x14ac:dyDescent="0.3">
      <c r="A258" s="6">
        <v>257</v>
      </c>
      <c r="B258" s="37">
        <v>45487</v>
      </c>
      <c r="C258" s="2" t="str">
        <f t="shared" ref="C258:C321" si="15">TEXT(B258,"mmm")</f>
        <v>Jul</v>
      </c>
      <c r="D258" s="6">
        <f t="shared" ref="D258:D321" si="16">YEAR(B258)</f>
        <v>2024</v>
      </c>
      <c r="E258" s="6">
        <v>25</v>
      </c>
      <c r="F258" s="4" t="s">
        <v>137</v>
      </c>
      <c r="G258" s="6">
        <v>45</v>
      </c>
      <c r="H258" t="s">
        <v>22</v>
      </c>
      <c r="I258" t="s">
        <v>23</v>
      </c>
      <c r="J258">
        <v>15</v>
      </c>
      <c r="K258" t="s">
        <v>67</v>
      </c>
      <c r="L258" t="s">
        <v>38</v>
      </c>
      <c r="M258" s="8">
        <v>1329.92</v>
      </c>
      <c r="N258" s="6">
        <v>5</v>
      </c>
      <c r="O258" s="8">
        <f t="shared" ref="O258:O321" si="17">M258*N258</f>
        <v>6649.6</v>
      </c>
      <c r="P258" t="s">
        <v>221</v>
      </c>
    </row>
    <row r="259" spans="1:16" x14ac:dyDescent="0.3">
      <c r="A259" s="6">
        <v>258</v>
      </c>
      <c r="B259" s="37">
        <v>45812</v>
      </c>
      <c r="C259" s="2" t="str">
        <f t="shared" si="15"/>
        <v>Jun</v>
      </c>
      <c r="D259" s="6">
        <f t="shared" si="16"/>
        <v>2025</v>
      </c>
      <c r="E259" s="6">
        <v>89</v>
      </c>
      <c r="F259" s="4" t="s">
        <v>135</v>
      </c>
      <c r="G259" s="6">
        <v>41</v>
      </c>
      <c r="H259" t="s">
        <v>52</v>
      </c>
      <c r="I259" t="s">
        <v>53</v>
      </c>
      <c r="J259">
        <v>28</v>
      </c>
      <c r="K259" t="s">
        <v>77</v>
      </c>
      <c r="L259" t="s">
        <v>25</v>
      </c>
      <c r="M259" s="8">
        <v>486.19</v>
      </c>
      <c r="N259" s="6">
        <v>6</v>
      </c>
      <c r="O259" s="8">
        <f t="shared" si="17"/>
        <v>2917.14</v>
      </c>
      <c r="P259" t="s">
        <v>222</v>
      </c>
    </row>
    <row r="260" spans="1:16" x14ac:dyDescent="0.3">
      <c r="A260" s="6">
        <v>259</v>
      </c>
      <c r="B260" s="37">
        <v>45431</v>
      </c>
      <c r="C260" s="2" t="str">
        <f t="shared" si="15"/>
        <v>May</v>
      </c>
      <c r="D260" s="6">
        <f t="shared" si="16"/>
        <v>2024</v>
      </c>
      <c r="E260" s="6">
        <v>120</v>
      </c>
      <c r="F260" s="4" t="s">
        <v>174</v>
      </c>
      <c r="G260" s="6">
        <v>27</v>
      </c>
      <c r="H260" t="s">
        <v>49</v>
      </c>
      <c r="I260" t="s">
        <v>50</v>
      </c>
      <c r="J260">
        <v>3</v>
      </c>
      <c r="K260" t="s">
        <v>28</v>
      </c>
      <c r="L260" t="s">
        <v>29</v>
      </c>
      <c r="M260" s="8">
        <v>922.74</v>
      </c>
      <c r="N260" s="6">
        <v>1</v>
      </c>
      <c r="O260" s="8">
        <f t="shared" si="17"/>
        <v>922.74</v>
      </c>
      <c r="P260" t="s">
        <v>220</v>
      </c>
    </row>
    <row r="261" spans="1:16" x14ac:dyDescent="0.3">
      <c r="A261" s="6">
        <v>260</v>
      </c>
      <c r="B261" s="37">
        <v>45574</v>
      </c>
      <c r="C261" s="2" t="str">
        <f t="shared" si="15"/>
        <v>Oct</v>
      </c>
      <c r="D261" s="6">
        <f t="shared" si="16"/>
        <v>2024</v>
      </c>
      <c r="E261" s="6">
        <v>86</v>
      </c>
      <c r="F261" s="4" t="s">
        <v>170</v>
      </c>
      <c r="G261" s="6">
        <v>28</v>
      </c>
      <c r="H261" t="s">
        <v>52</v>
      </c>
      <c r="I261" t="s">
        <v>53</v>
      </c>
      <c r="J261">
        <v>25</v>
      </c>
      <c r="K261" t="s">
        <v>61</v>
      </c>
      <c r="L261" t="s">
        <v>19</v>
      </c>
      <c r="M261" s="8">
        <v>705</v>
      </c>
      <c r="N261" s="6">
        <v>4</v>
      </c>
      <c r="O261" s="8">
        <f t="shared" si="17"/>
        <v>2820</v>
      </c>
      <c r="P261" t="s">
        <v>219</v>
      </c>
    </row>
    <row r="262" spans="1:16" x14ac:dyDescent="0.3">
      <c r="A262" s="6">
        <v>261</v>
      </c>
      <c r="B262" s="37">
        <v>45640</v>
      </c>
      <c r="C262" s="2" t="str">
        <f t="shared" si="15"/>
        <v>Dec</v>
      </c>
      <c r="D262" s="6">
        <f t="shared" si="16"/>
        <v>2024</v>
      </c>
      <c r="E262" s="6">
        <v>12</v>
      </c>
      <c r="F262" s="4" t="s">
        <v>119</v>
      </c>
      <c r="G262" s="6">
        <v>36</v>
      </c>
      <c r="H262" t="s">
        <v>32</v>
      </c>
      <c r="I262" t="s">
        <v>33</v>
      </c>
      <c r="J262">
        <v>2</v>
      </c>
      <c r="K262" t="s">
        <v>34</v>
      </c>
      <c r="L262" t="s">
        <v>29</v>
      </c>
      <c r="M262" s="8">
        <v>1476.14</v>
      </c>
      <c r="N262" s="6">
        <v>5</v>
      </c>
      <c r="O262" s="8">
        <f t="shared" si="17"/>
        <v>7380.7000000000007</v>
      </c>
      <c r="P262" t="s">
        <v>222</v>
      </c>
    </row>
    <row r="263" spans="1:16" x14ac:dyDescent="0.3">
      <c r="A263" s="6">
        <v>262</v>
      </c>
      <c r="B263" s="37">
        <v>45565</v>
      </c>
      <c r="C263" s="2" t="str">
        <f t="shared" si="15"/>
        <v>Sept</v>
      </c>
      <c r="D263" s="6">
        <f t="shared" si="16"/>
        <v>2024</v>
      </c>
      <c r="E263" s="6">
        <v>25</v>
      </c>
      <c r="F263" s="4" t="s">
        <v>137</v>
      </c>
      <c r="G263" s="6">
        <v>45</v>
      </c>
      <c r="H263" t="s">
        <v>22</v>
      </c>
      <c r="I263" t="s">
        <v>23</v>
      </c>
      <c r="J263">
        <v>19</v>
      </c>
      <c r="K263" t="s">
        <v>84</v>
      </c>
      <c r="L263" t="s">
        <v>43</v>
      </c>
      <c r="M263" s="8">
        <v>1048.43</v>
      </c>
      <c r="N263" s="6">
        <v>1</v>
      </c>
      <c r="O263" s="8">
        <f t="shared" si="17"/>
        <v>1048.43</v>
      </c>
      <c r="P263" t="s">
        <v>222</v>
      </c>
    </row>
    <row r="264" spans="1:16" x14ac:dyDescent="0.3">
      <c r="A264" s="6">
        <v>263</v>
      </c>
      <c r="B264" s="37">
        <v>45581</v>
      </c>
      <c r="C264" s="2" t="str">
        <f t="shared" si="15"/>
        <v>Oct</v>
      </c>
      <c r="D264" s="6">
        <f t="shared" si="16"/>
        <v>2024</v>
      </c>
      <c r="E264" s="6">
        <v>67</v>
      </c>
      <c r="F264" s="4" t="s">
        <v>131</v>
      </c>
      <c r="G264" s="6">
        <v>23</v>
      </c>
      <c r="H264" t="s">
        <v>52</v>
      </c>
      <c r="I264" t="s">
        <v>53</v>
      </c>
      <c r="J264">
        <v>18</v>
      </c>
      <c r="K264" t="s">
        <v>68</v>
      </c>
      <c r="L264" t="s">
        <v>43</v>
      </c>
      <c r="M264" s="8">
        <v>1209.0999999999999</v>
      </c>
      <c r="N264" s="6">
        <v>6</v>
      </c>
      <c r="O264" s="8">
        <f t="shared" si="17"/>
        <v>7254.5999999999995</v>
      </c>
      <c r="P264" t="s">
        <v>221</v>
      </c>
    </row>
    <row r="265" spans="1:16" x14ac:dyDescent="0.3">
      <c r="A265" s="6">
        <v>264</v>
      </c>
      <c r="B265" s="37">
        <v>45597</v>
      </c>
      <c r="C265" s="2" t="str">
        <f t="shared" si="15"/>
        <v>Nov</v>
      </c>
      <c r="D265" s="6">
        <f t="shared" si="16"/>
        <v>2024</v>
      </c>
      <c r="E265" s="6">
        <v>7</v>
      </c>
      <c r="F265" s="4" t="s">
        <v>143</v>
      </c>
      <c r="G265" s="6">
        <v>62</v>
      </c>
      <c r="H265" t="s">
        <v>32</v>
      </c>
      <c r="I265" t="s">
        <v>33</v>
      </c>
      <c r="J265">
        <v>5</v>
      </c>
      <c r="K265" t="s">
        <v>82</v>
      </c>
      <c r="L265" t="s">
        <v>29</v>
      </c>
      <c r="M265" s="8">
        <v>691.29</v>
      </c>
      <c r="N265" s="6">
        <v>5</v>
      </c>
      <c r="O265" s="8">
        <f t="shared" si="17"/>
        <v>3456.45</v>
      </c>
      <c r="P265" t="s">
        <v>222</v>
      </c>
    </row>
    <row r="266" spans="1:16" x14ac:dyDescent="0.3">
      <c r="A266" s="6">
        <v>265</v>
      </c>
      <c r="B266" s="37">
        <v>45885</v>
      </c>
      <c r="C266" s="2" t="str">
        <f t="shared" si="15"/>
        <v>Aug</v>
      </c>
      <c r="D266" s="6">
        <f t="shared" si="16"/>
        <v>2025</v>
      </c>
      <c r="E266" s="6">
        <v>78</v>
      </c>
      <c r="F266" s="4" t="s">
        <v>181</v>
      </c>
      <c r="G266" s="6">
        <v>51</v>
      </c>
      <c r="H266" t="s">
        <v>22</v>
      </c>
      <c r="I266" t="s">
        <v>23</v>
      </c>
      <c r="J266">
        <v>26</v>
      </c>
      <c r="K266" t="s">
        <v>54</v>
      </c>
      <c r="L266" t="s">
        <v>25</v>
      </c>
      <c r="M266" s="8">
        <v>803.73</v>
      </c>
      <c r="N266" s="6">
        <v>6</v>
      </c>
      <c r="O266" s="8">
        <f t="shared" si="17"/>
        <v>4822.38</v>
      </c>
      <c r="P266" t="s">
        <v>220</v>
      </c>
    </row>
    <row r="267" spans="1:16" x14ac:dyDescent="0.3">
      <c r="A267" s="6">
        <v>266</v>
      </c>
      <c r="B267" s="37">
        <v>45793</v>
      </c>
      <c r="C267" s="2" t="str">
        <f t="shared" si="15"/>
        <v>May</v>
      </c>
      <c r="D267" s="6">
        <f t="shared" si="16"/>
        <v>2025</v>
      </c>
      <c r="E267" s="6">
        <v>114</v>
      </c>
      <c r="F267" s="4" t="s">
        <v>127</v>
      </c>
      <c r="G267" s="6">
        <v>18</v>
      </c>
      <c r="H267" t="s">
        <v>22</v>
      </c>
      <c r="I267" t="s">
        <v>23</v>
      </c>
      <c r="J267">
        <v>16</v>
      </c>
      <c r="K267" t="s">
        <v>64</v>
      </c>
      <c r="L267" t="s">
        <v>43</v>
      </c>
      <c r="M267" s="8">
        <v>1170.95</v>
      </c>
      <c r="N267" s="6">
        <v>2</v>
      </c>
      <c r="O267" s="8">
        <f t="shared" si="17"/>
        <v>2341.9</v>
      </c>
      <c r="P267" t="s">
        <v>221</v>
      </c>
    </row>
    <row r="268" spans="1:16" x14ac:dyDescent="0.3">
      <c r="A268" s="6">
        <v>267</v>
      </c>
      <c r="B268" s="37">
        <v>45749</v>
      </c>
      <c r="C268" s="2" t="str">
        <f t="shared" si="15"/>
        <v>Apr</v>
      </c>
      <c r="D268" s="6">
        <f t="shared" si="16"/>
        <v>2025</v>
      </c>
      <c r="E268" s="6">
        <v>93</v>
      </c>
      <c r="F268" s="4" t="s">
        <v>158</v>
      </c>
      <c r="G268" s="6">
        <v>27</v>
      </c>
      <c r="H268" t="s">
        <v>32</v>
      </c>
      <c r="I268" t="s">
        <v>33</v>
      </c>
      <c r="J268">
        <v>10</v>
      </c>
      <c r="K268" t="s">
        <v>70</v>
      </c>
      <c r="L268" t="s">
        <v>71</v>
      </c>
      <c r="M268" s="8">
        <v>608.48</v>
      </c>
      <c r="N268" s="6">
        <v>5</v>
      </c>
      <c r="O268" s="8">
        <f t="shared" si="17"/>
        <v>3042.4</v>
      </c>
      <c r="P268" t="s">
        <v>219</v>
      </c>
    </row>
    <row r="269" spans="1:16" x14ac:dyDescent="0.3">
      <c r="A269" s="6">
        <v>268</v>
      </c>
      <c r="B269" s="37">
        <v>45787</v>
      </c>
      <c r="C269" s="2" t="str">
        <f t="shared" si="15"/>
        <v>May</v>
      </c>
      <c r="D269" s="6">
        <f t="shared" si="16"/>
        <v>2025</v>
      </c>
      <c r="E269" s="6">
        <v>41</v>
      </c>
      <c r="F269" s="4" t="s">
        <v>159</v>
      </c>
      <c r="G269" s="6">
        <v>53</v>
      </c>
      <c r="H269" t="s">
        <v>52</v>
      </c>
      <c r="I269" t="s">
        <v>53</v>
      </c>
      <c r="J269">
        <v>9</v>
      </c>
      <c r="K269" t="s">
        <v>76</v>
      </c>
      <c r="L269" t="s">
        <v>71</v>
      </c>
      <c r="M269" s="8">
        <v>585.21</v>
      </c>
      <c r="N269" s="6">
        <v>3</v>
      </c>
      <c r="O269" s="8">
        <f t="shared" si="17"/>
        <v>1755.63</v>
      </c>
      <c r="P269" t="s">
        <v>220</v>
      </c>
    </row>
    <row r="270" spans="1:16" x14ac:dyDescent="0.3">
      <c r="A270" s="6">
        <v>269</v>
      </c>
      <c r="B270" s="37">
        <v>45632</v>
      </c>
      <c r="C270" s="2" t="str">
        <f t="shared" si="15"/>
        <v>Dec</v>
      </c>
      <c r="D270" s="6">
        <f t="shared" si="16"/>
        <v>2024</v>
      </c>
      <c r="E270" s="6">
        <v>1</v>
      </c>
      <c r="F270" s="4" t="s">
        <v>140</v>
      </c>
      <c r="G270" s="6">
        <v>35</v>
      </c>
      <c r="H270" t="s">
        <v>59</v>
      </c>
      <c r="I270" t="s">
        <v>33</v>
      </c>
      <c r="J270">
        <v>17</v>
      </c>
      <c r="K270" t="s">
        <v>42</v>
      </c>
      <c r="L270" t="s">
        <v>43</v>
      </c>
      <c r="M270" s="8">
        <v>339.98</v>
      </c>
      <c r="N270" s="6">
        <v>5</v>
      </c>
      <c r="O270" s="8">
        <f t="shared" si="17"/>
        <v>1699.9</v>
      </c>
      <c r="P270" t="s">
        <v>221</v>
      </c>
    </row>
    <row r="271" spans="1:16" x14ac:dyDescent="0.3">
      <c r="A271" s="6">
        <v>270</v>
      </c>
      <c r="B271" s="37">
        <v>45848</v>
      </c>
      <c r="C271" s="2" t="str">
        <f t="shared" si="15"/>
        <v>Jul</v>
      </c>
      <c r="D271" s="6">
        <f t="shared" si="16"/>
        <v>2025</v>
      </c>
      <c r="E271" s="6">
        <v>87</v>
      </c>
      <c r="F271" s="4" t="s">
        <v>183</v>
      </c>
      <c r="G271" s="6">
        <v>45</v>
      </c>
      <c r="H271" t="s">
        <v>52</v>
      </c>
      <c r="I271" t="s">
        <v>53</v>
      </c>
      <c r="J271">
        <v>27</v>
      </c>
      <c r="K271" t="s">
        <v>24</v>
      </c>
      <c r="L271" t="s">
        <v>25</v>
      </c>
      <c r="M271" s="8">
        <v>845</v>
      </c>
      <c r="N271" s="6">
        <v>4</v>
      </c>
      <c r="O271" s="8">
        <f t="shared" si="17"/>
        <v>3380</v>
      </c>
      <c r="P271" t="s">
        <v>220</v>
      </c>
    </row>
    <row r="272" spans="1:16" x14ac:dyDescent="0.3">
      <c r="A272" s="6">
        <v>271</v>
      </c>
      <c r="B272" s="37">
        <v>45758</v>
      </c>
      <c r="C272" s="2" t="str">
        <f t="shared" si="15"/>
        <v>Apr</v>
      </c>
      <c r="D272" s="6">
        <f t="shared" si="16"/>
        <v>2025</v>
      </c>
      <c r="E272" s="6">
        <v>76</v>
      </c>
      <c r="F272" s="4" t="s">
        <v>166</v>
      </c>
      <c r="G272" s="6">
        <v>22</v>
      </c>
      <c r="H272" t="s">
        <v>22</v>
      </c>
      <c r="I272" t="s">
        <v>23</v>
      </c>
      <c r="J272">
        <v>4</v>
      </c>
      <c r="K272" t="s">
        <v>48</v>
      </c>
      <c r="L272" t="s">
        <v>29</v>
      </c>
      <c r="M272" s="8">
        <v>1156.21</v>
      </c>
      <c r="N272" s="6">
        <v>3</v>
      </c>
      <c r="O272" s="8">
        <f t="shared" si="17"/>
        <v>3468.63</v>
      </c>
      <c r="P272" t="s">
        <v>220</v>
      </c>
    </row>
    <row r="273" spans="1:16" x14ac:dyDescent="0.3">
      <c r="A273" s="6">
        <v>272</v>
      </c>
      <c r="B273" s="37">
        <v>45485</v>
      </c>
      <c r="C273" s="2" t="str">
        <f t="shared" si="15"/>
        <v>Jul</v>
      </c>
      <c r="D273" s="6">
        <f t="shared" si="16"/>
        <v>2024</v>
      </c>
      <c r="E273" s="6">
        <v>12</v>
      </c>
      <c r="F273" s="4" t="s">
        <v>119</v>
      </c>
      <c r="G273" s="6">
        <v>36</v>
      </c>
      <c r="H273" t="s">
        <v>32</v>
      </c>
      <c r="I273" t="s">
        <v>33</v>
      </c>
      <c r="J273">
        <v>5</v>
      </c>
      <c r="K273" t="s">
        <v>82</v>
      </c>
      <c r="L273" t="s">
        <v>29</v>
      </c>
      <c r="M273" s="8">
        <v>691.29</v>
      </c>
      <c r="N273" s="6">
        <v>6</v>
      </c>
      <c r="O273" s="8">
        <f t="shared" si="17"/>
        <v>4147.74</v>
      </c>
      <c r="P273" t="s">
        <v>221</v>
      </c>
    </row>
    <row r="274" spans="1:16" x14ac:dyDescent="0.3">
      <c r="A274" s="6">
        <v>273</v>
      </c>
      <c r="B274" s="37">
        <v>45536</v>
      </c>
      <c r="C274" s="2" t="str">
        <f t="shared" si="15"/>
        <v>Sept</v>
      </c>
      <c r="D274" s="6">
        <f t="shared" si="16"/>
        <v>2024</v>
      </c>
      <c r="E274" s="6">
        <v>2</v>
      </c>
      <c r="F274" s="4" t="s">
        <v>128</v>
      </c>
      <c r="G274" s="6">
        <v>24</v>
      </c>
      <c r="H274" t="s">
        <v>49</v>
      </c>
      <c r="I274" t="s">
        <v>50</v>
      </c>
      <c r="J274">
        <v>7</v>
      </c>
      <c r="K274" t="s">
        <v>80</v>
      </c>
      <c r="L274" t="s">
        <v>71</v>
      </c>
      <c r="M274" s="8">
        <v>869.87</v>
      </c>
      <c r="N274" s="6">
        <v>5</v>
      </c>
      <c r="O274" s="8">
        <f t="shared" si="17"/>
        <v>4349.3500000000004</v>
      </c>
      <c r="P274" t="s">
        <v>220</v>
      </c>
    </row>
    <row r="275" spans="1:16" x14ac:dyDescent="0.3">
      <c r="A275" s="6">
        <v>274</v>
      </c>
      <c r="B275" s="37">
        <v>45684</v>
      </c>
      <c r="C275" s="2" t="str">
        <f t="shared" si="15"/>
        <v>Jan</v>
      </c>
      <c r="D275" s="6">
        <f t="shared" si="16"/>
        <v>2025</v>
      </c>
      <c r="E275" s="6">
        <v>31</v>
      </c>
      <c r="F275" s="4" t="s">
        <v>152</v>
      </c>
      <c r="G275" s="6">
        <v>66</v>
      </c>
      <c r="H275" t="s">
        <v>59</v>
      </c>
      <c r="I275" t="s">
        <v>33</v>
      </c>
      <c r="J275">
        <v>6</v>
      </c>
      <c r="K275" t="s">
        <v>86</v>
      </c>
      <c r="L275" t="s">
        <v>71</v>
      </c>
      <c r="M275" s="8">
        <v>1330.91</v>
      </c>
      <c r="N275" s="6">
        <v>2</v>
      </c>
      <c r="O275" s="8">
        <f t="shared" si="17"/>
        <v>2661.82</v>
      </c>
      <c r="P275" t="s">
        <v>220</v>
      </c>
    </row>
    <row r="276" spans="1:16" x14ac:dyDescent="0.3">
      <c r="A276" s="6">
        <v>275</v>
      </c>
      <c r="B276" s="37">
        <v>45712</v>
      </c>
      <c r="C276" s="2" t="str">
        <f t="shared" si="15"/>
        <v>Feb</v>
      </c>
      <c r="D276" s="6">
        <f t="shared" si="16"/>
        <v>2025</v>
      </c>
      <c r="E276" s="6">
        <v>115</v>
      </c>
      <c r="F276" s="4" t="s">
        <v>161</v>
      </c>
      <c r="G276" s="6">
        <v>68</v>
      </c>
      <c r="H276" t="s">
        <v>22</v>
      </c>
      <c r="I276" t="s">
        <v>23</v>
      </c>
      <c r="J276">
        <v>29</v>
      </c>
      <c r="K276" t="s">
        <v>65</v>
      </c>
      <c r="L276" t="s">
        <v>25</v>
      </c>
      <c r="M276" s="8">
        <v>1136.55</v>
      </c>
      <c r="N276" s="6">
        <v>1</v>
      </c>
      <c r="O276" s="8">
        <f t="shared" si="17"/>
        <v>1136.55</v>
      </c>
      <c r="P276" t="s">
        <v>221</v>
      </c>
    </row>
    <row r="277" spans="1:16" x14ac:dyDescent="0.3">
      <c r="A277" s="6">
        <v>276</v>
      </c>
      <c r="B277" s="37">
        <v>45617</v>
      </c>
      <c r="C277" s="2" t="str">
        <f t="shared" si="15"/>
        <v>Nov</v>
      </c>
      <c r="D277" s="6">
        <f t="shared" si="16"/>
        <v>2024</v>
      </c>
      <c r="E277" s="6">
        <v>5</v>
      </c>
      <c r="F277" s="4" t="s">
        <v>163</v>
      </c>
      <c r="G277" s="6">
        <v>63</v>
      </c>
      <c r="H277" t="s">
        <v>32</v>
      </c>
      <c r="I277" t="s">
        <v>33</v>
      </c>
      <c r="J277">
        <v>9</v>
      </c>
      <c r="K277" t="s">
        <v>76</v>
      </c>
      <c r="L277" t="s">
        <v>71</v>
      </c>
      <c r="M277" s="8">
        <v>585.21</v>
      </c>
      <c r="N277" s="6">
        <v>6</v>
      </c>
      <c r="O277" s="8">
        <f t="shared" si="17"/>
        <v>3511.26</v>
      </c>
      <c r="P277" t="s">
        <v>220</v>
      </c>
    </row>
    <row r="278" spans="1:16" x14ac:dyDescent="0.3">
      <c r="A278" s="6">
        <v>277</v>
      </c>
      <c r="B278" s="37">
        <v>45776</v>
      </c>
      <c r="C278" s="2" t="str">
        <f t="shared" si="15"/>
        <v>Apr</v>
      </c>
      <c r="D278" s="6">
        <f t="shared" si="16"/>
        <v>2025</v>
      </c>
      <c r="E278" s="6">
        <v>18</v>
      </c>
      <c r="F278" s="4" t="s">
        <v>181</v>
      </c>
      <c r="G278" s="6">
        <v>28</v>
      </c>
      <c r="H278" t="s">
        <v>59</v>
      </c>
      <c r="I278" t="s">
        <v>33</v>
      </c>
      <c r="J278">
        <v>4</v>
      </c>
      <c r="K278" t="s">
        <v>48</v>
      </c>
      <c r="L278" t="s">
        <v>29</v>
      </c>
      <c r="M278" s="8">
        <v>1156.21</v>
      </c>
      <c r="N278" s="6">
        <v>6</v>
      </c>
      <c r="O278" s="8">
        <f t="shared" si="17"/>
        <v>6937.26</v>
      </c>
      <c r="P278" t="s">
        <v>220</v>
      </c>
    </row>
    <row r="279" spans="1:16" x14ac:dyDescent="0.3">
      <c r="A279" s="6">
        <v>278</v>
      </c>
      <c r="B279" s="37">
        <v>45682</v>
      </c>
      <c r="C279" s="2" t="str">
        <f t="shared" si="15"/>
        <v>Jan</v>
      </c>
      <c r="D279" s="6">
        <f t="shared" si="16"/>
        <v>2025</v>
      </c>
      <c r="E279" s="6">
        <v>108</v>
      </c>
      <c r="F279" s="4" t="s">
        <v>139</v>
      </c>
      <c r="G279" s="6">
        <v>22</v>
      </c>
      <c r="H279" t="s">
        <v>49</v>
      </c>
      <c r="I279" t="s">
        <v>50</v>
      </c>
      <c r="J279">
        <v>26</v>
      </c>
      <c r="K279" t="s">
        <v>54</v>
      </c>
      <c r="L279" t="s">
        <v>25</v>
      </c>
      <c r="M279" s="8">
        <v>803.73</v>
      </c>
      <c r="N279" s="6">
        <v>4</v>
      </c>
      <c r="O279" s="8">
        <f t="shared" si="17"/>
        <v>3214.92</v>
      </c>
      <c r="P279" t="s">
        <v>219</v>
      </c>
    </row>
    <row r="280" spans="1:16" x14ac:dyDescent="0.3">
      <c r="A280" s="6">
        <v>279</v>
      </c>
      <c r="B280" s="37">
        <v>45971</v>
      </c>
      <c r="C280" s="2" t="str">
        <f t="shared" si="15"/>
        <v>Nov</v>
      </c>
      <c r="D280" s="6">
        <f t="shared" si="16"/>
        <v>2025</v>
      </c>
      <c r="E280" s="6">
        <v>42</v>
      </c>
      <c r="F280" s="4" t="s">
        <v>106</v>
      </c>
      <c r="G280" s="6">
        <v>45</v>
      </c>
      <c r="H280" t="s">
        <v>22</v>
      </c>
      <c r="I280" t="s">
        <v>23</v>
      </c>
      <c r="J280">
        <v>26</v>
      </c>
      <c r="K280" t="s">
        <v>54</v>
      </c>
      <c r="L280" t="s">
        <v>25</v>
      </c>
      <c r="M280" s="8">
        <v>803.73</v>
      </c>
      <c r="N280" s="6">
        <v>6</v>
      </c>
      <c r="O280" s="8">
        <f t="shared" si="17"/>
        <v>4822.38</v>
      </c>
      <c r="P280" t="s">
        <v>222</v>
      </c>
    </row>
    <row r="281" spans="1:16" x14ac:dyDescent="0.3">
      <c r="A281" s="6">
        <v>280</v>
      </c>
      <c r="B281" s="37">
        <v>45447</v>
      </c>
      <c r="C281" s="2" t="str">
        <f t="shared" si="15"/>
        <v>Jun</v>
      </c>
      <c r="D281" s="6">
        <f t="shared" si="16"/>
        <v>2024</v>
      </c>
      <c r="E281" s="6">
        <v>22</v>
      </c>
      <c r="F281" s="4" t="s">
        <v>125</v>
      </c>
      <c r="G281" s="6">
        <v>31</v>
      </c>
      <c r="H281" t="s">
        <v>32</v>
      </c>
      <c r="I281" t="s">
        <v>33</v>
      </c>
      <c r="J281">
        <v>23</v>
      </c>
      <c r="K281" t="s">
        <v>18</v>
      </c>
      <c r="L281" t="s">
        <v>19</v>
      </c>
      <c r="M281" s="8">
        <v>195.22</v>
      </c>
      <c r="N281" s="6">
        <v>4</v>
      </c>
      <c r="O281" s="8">
        <f t="shared" si="17"/>
        <v>780.88</v>
      </c>
      <c r="P281" t="s">
        <v>219</v>
      </c>
    </row>
    <row r="282" spans="1:16" x14ac:dyDescent="0.3">
      <c r="A282" s="6">
        <v>281</v>
      </c>
      <c r="B282" s="37">
        <v>45329</v>
      </c>
      <c r="C282" s="2" t="str">
        <f t="shared" si="15"/>
        <v>Feb</v>
      </c>
      <c r="D282" s="6">
        <f t="shared" si="16"/>
        <v>2024</v>
      </c>
      <c r="E282" s="6">
        <v>23</v>
      </c>
      <c r="F282" s="4" t="s">
        <v>133</v>
      </c>
      <c r="G282" s="6">
        <v>49</v>
      </c>
      <c r="H282" t="s">
        <v>16</v>
      </c>
      <c r="I282" t="s">
        <v>17</v>
      </c>
      <c r="J282">
        <v>14</v>
      </c>
      <c r="K282" t="s">
        <v>81</v>
      </c>
      <c r="L282" t="s">
        <v>38</v>
      </c>
      <c r="M282" s="8">
        <v>1292.75</v>
      </c>
      <c r="N282" s="6">
        <v>2</v>
      </c>
      <c r="O282" s="8">
        <f t="shared" si="17"/>
        <v>2585.5</v>
      </c>
      <c r="P282" t="s">
        <v>219</v>
      </c>
    </row>
    <row r="283" spans="1:16" x14ac:dyDescent="0.3">
      <c r="A283" s="6">
        <v>282</v>
      </c>
      <c r="B283" s="37">
        <v>45806</v>
      </c>
      <c r="C283" s="2" t="str">
        <f t="shared" si="15"/>
        <v>May</v>
      </c>
      <c r="D283" s="6">
        <f t="shared" si="16"/>
        <v>2025</v>
      </c>
      <c r="E283" s="6">
        <v>20</v>
      </c>
      <c r="F283" s="4" t="s">
        <v>188</v>
      </c>
      <c r="G283" s="6">
        <v>67</v>
      </c>
      <c r="H283" t="s">
        <v>49</v>
      </c>
      <c r="I283" t="s">
        <v>50</v>
      </c>
      <c r="J283">
        <v>2</v>
      </c>
      <c r="K283" t="s">
        <v>34</v>
      </c>
      <c r="L283" t="s">
        <v>29</v>
      </c>
      <c r="M283" s="8">
        <v>1476.14</v>
      </c>
      <c r="N283" s="6">
        <v>5</v>
      </c>
      <c r="O283" s="8">
        <f t="shared" si="17"/>
        <v>7380.7000000000007</v>
      </c>
      <c r="P283" t="s">
        <v>219</v>
      </c>
    </row>
    <row r="284" spans="1:16" x14ac:dyDescent="0.3">
      <c r="A284" s="6">
        <v>283</v>
      </c>
      <c r="B284" s="37">
        <v>45631</v>
      </c>
      <c r="C284" s="2" t="str">
        <f t="shared" si="15"/>
        <v>Dec</v>
      </c>
      <c r="D284" s="6">
        <f t="shared" si="16"/>
        <v>2024</v>
      </c>
      <c r="E284" s="6">
        <v>79</v>
      </c>
      <c r="F284" s="4" t="s">
        <v>123</v>
      </c>
      <c r="G284" s="6">
        <v>24</v>
      </c>
      <c r="H284" t="s">
        <v>22</v>
      </c>
      <c r="I284" t="s">
        <v>23</v>
      </c>
      <c r="J284">
        <v>11</v>
      </c>
      <c r="K284" t="s">
        <v>55</v>
      </c>
      <c r="L284" t="s">
        <v>38</v>
      </c>
      <c r="M284" s="8">
        <v>234.14</v>
      </c>
      <c r="N284" s="6">
        <v>1</v>
      </c>
      <c r="O284" s="8">
        <f t="shared" si="17"/>
        <v>234.14</v>
      </c>
      <c r="P284" t="s">
        <v>221</v>
      </c>
    </row>
    <row r="285" spans="1:16" x14ac:dyDescent="0.3">
      <c r="A285" s="6">
        <v>284</v>
      </c>
      <c r="B285" s="37">
        <v>45742</v>
      </c>
      <c r="C285" s="2" t="str">
        <f t="shared" si="15"/>
        <v>Mar</v>
      </c>
      <c r="D285" s="6">
        <f t="shared" si="16"/>
        <v>2025</v>
      </c>
      <c r="E285" s="6">
        <v>59</v>
      </c>
      <c r="F285" s="4" t="s">
        <v>156</v>
      </c>
      <c r="G285" s="6">
        <v>52</v>
      </c>
      <c r="H285" t="s">
        <v>59</v>
      </c>
      <c r="I285" t="s">
        <v>33</v>
      </c>
      <c r="J285">
        <v>20</v>
      </c>
      <c r="K285" t="s">
        <v>58</v>
      </c>
      <c r="L285" t="s">
        <v>43</v>
      </c>
      <c r="M285" s="8">
        <v>704.86</v>
      </c>
      <c r="N285" s="6">
        <v>1</v>
      </c>
      <c r="O285" s="8">
        <f t="shared" si="17"/>
        <v>704.86</v>
      </c>
      <c r="P285" t="s">
        <v>222</v>
      </c>
    </row>
    <row r="286" spans="1:16" x14ac:dyDescent="0.3">
      <c r="A286" s="6">
        <v>285</v>
      </c>
      <c r="B286" s="37">
        <v>45830</v>
      </c>
      <c r="C286" s="2" t="str">
        <f t="shared" si="15"/>
        <v>Jun</v>
      </c>
      <c r="D286" s="6">
        <f t="shared" si="16"/>
        <v>2025</v>
      </c>
      <c r="E286" s="6">
        <v>80</v>
      </c>
      <c r="F286" s="4" t="s">
        <v>125</v>
      </c>
      <c r="G286" s="6">
        <v>24</v>
      </c>
      <c r="H286" t="s">
        <v>52</v>
      </c>
      <c r="I286" t="s">
        <v>53</v>
      </c>
      <c r="J286">
        <v>11</v>
      </c>
      <c r="K286" t="s">
        <v>55</v>
      </c>
      <c r="L286" t="s">
        <v>38</v>
      </c>
      <c r="M286" s="8">
        <v>234.14</v>
      </c>
      <c r="N286" s="6">
        <v>4</v>
      </c>
      <c r="O286" s="8">
        <f t="shared" si="17"/>
        <v>936.56</v>
      </c>
      <c r="P286" t="s">
        <v>222</v>
      </c>
    </row>
    <row r="287" spans="1:16" x14ac:dyDescent="0.3">
      <c r="A287" s="6">
        <v>286</v>
      </c>
      <c r="B287" s="37">
        <v>45307</v>
      </c>
      <c r="C287" s="2" t="str">
        <f t="shared" si="15"/>
        <v>Jan</v>
      </c>
      <c r="D287" s="6">
        <f t="shared" si="16"/>
        <v>2024</v>
      </c>
      <c r="E287" s="6">
        <v>40</v>
      </c>
      <c r="F287" s="4" t="s">
        <v>134</v>
      </c>
      <c r="G287" s="6">
        <v>67</v>
      </c>
      <c r="H287" t="s">
        <v>59</v>
      </c>
      <c r="I287" t="s">
        <v>33</v>
      </c>
      <c r="J287">
        <v>14</v>
      </c>
      <c r="K287" t="s">
        <v>81</v>
      </c>
      <c r="L287" t="s">
        <v>38</v>
      </c>
      <c r="M287" s="8">
        <v>1292.75</v>
      </c>
      <c r="N287" s="6">
        <v>6</v>
      </c>
      <c r="O287" s="8">
        <f t="shared" si="17"/>
        <v>7756.5</v>
      </c>
      <c r="P287" t="s">
        <v>219</v>
      </c>
    </row>
    <row r="288" spans="1:16" x14ac:dyDescent="0.3">
      <c r="A288" s="6">
        <v>287</v>
      </c>
      <c r="B288" s="37">
        <v>45439</v>
      </c>
      <c r="C288" s="2" t="str">
        <f t="shared" si="15"/>
        <v>May</v>
      </c>
      <c r="D288" s="6">
        <f t="shared" si="16"/>
        <v>2024</v>
      </c>
      <c r="E288" s="6">
        <v>41</v>
      </c>
      <c r="F288" s="4" t="s">
        <v>159</v>
      </c>
      <c r="G288" s="6">
        <v>53</v>
      </c>
      <c r="H288" t="s">
        <v>52</v>
      </c>
      <c r="I288" t="s">
        <v>53</v>
      </c>
      <c r="J288">
        <v>30</v>
      </c>
      <c r="K288" t="s">
        <v>73</v>
      </c>
      <c r="L288" t="s">
        <v>25</v>
      </c>
      <c r="M288" s="8">
        <v>672.22</v>
      </c>
      <c r="N288" s="6">
        <v>4</v>
      </c>
      <c r="O288" s="8">
        <f t="shared" si="17"/>
        <v>2688.88</v>
      </c>
      <c r="P288" t="s">
        <v>219</v>
      </c>
    </row>
    <row r="289" spans="1:16" x14ac:dyDescent="0.3">
      <c r="A289" s="6">
        <v>288</v>
      </c>
      <c r="B289" s="37">
        <v>45962</v>
      </c>
      <c r="C289" s="2" t="str">
        <f t="shared" si="15"/>
        <v>Nov</v>
      </c>
      <c r="D289" s="6">
        <f t="shared" si="16"/>
        <v>2025</v>
      </c>
      <c r="E289" s="6">
        <v>28</v>
      </c>
      <c r="F289" s="4" t="s">
        <v>189</v>
      </c>
      <c r="G289" s="6">
        <v>45</v>
      </c>
      <c r="H289" t="s">
        <v>52</v>
      </c>
      <c r="I289" t="s">
        <v>53</v>
      </c>
      <c r="J289">
        <v>5</v>
      </c>
      <c r="K289" t="s">
        <v>82</v>
      </c>
      <c r="L289" t="s">
        <v>29</v>
      </c>
      <c r="M289" s="8">
        <v>691.29</v>
      </c>
      <c r="N289" s="6">
        <v>2</v>
      </c>
      <c r="O289" s="8">
        <f t="shared" si="17"/>
        <v>1382.58</v>
      </c>
      <c r="P289" t="s">
        <v>221</v>
      </c>
    </row>
    <row r="290" spans="1:16" x14ac:dyDescent="0.3">
      <c r="A290" s="6">
        <v>289</v>
      </c>
      <c r="B290" s="37">
        <v>45368</v>
      </c>
      <c r="C290" s="2" t="str">
        <f t="shared" si="15"/>
        <v>Mar</v>
      </c>
      <c r="D290" s="6">
        <f t="shared" si="16"/>
        <v>2024</v>
      </c>
      <c r="E290" s="6">
        <v>88</v>
      </c>
      <c r="F290" s="4" t="s">
        <v>126</v>
      </c>
      <c r="G290" s="6">
        <v>62</v>
      </c>
      <c r="H290" t="s">
        <v>32</v>
      </c>
      <c r="I290" t="s">
        <v>33</v>
      </c>
      <c r="J290">
        <v>30</v>
      </c>
      <c r="K290" t="s">
        <v>73</v>
      </c>
      <c r="L290" t="s">
        <v>25</v>
      </c>
      <c r="M290" s="8">
        <v>672.22</v>
      </c>
      <c r="N290" s="6">
        <v>4</v>
      </c>
      <c r="O290" s="8">
        <f t="shared" si="17"/>
        <v>2688.88</v>
      </c>
      <c r="P290" t="s">
        <v>222</v>
      </c>
    </row>
    <row r="291" spans="1:16" x14ac:dyDescent="0.3">
      <c r="A291" s="6">
        <v>290</v>
      </c>
      <c r="B291" s="37">
        <v>45563</v>
      </c>
      <c r="C291" s="2" t="str">
        <f t="shared" si="15"/>
        <v>Sept</v>
      </c>
      <c r="D291" s="6">
        <f t="shared" si="16"/>
        <v>2024</v>
      </c>
      <c r="E291" s="6">
        <v>104</v>
      </c>
      <c r="F291" s="4" t="s">
        <v>107</v>
      </c>
      <c r="G291" s="6">
        <v>56</v>
      </c>
      <c r="H291" t="s">
        <v>22</v>
      </c>
      <c r="I291" t="s">
        <v>23</v>
      </c>
      <c r="J291">
        <v>16</v>
      </c>
      <c r="K291" t="s">
        <v>64</v>
      </c>
      <c r="L291" t="s">
        <v>43</v>
      </c>
      <c r="M291" s="8">
        <v>1170.95</v>
      </c>
      <c r="N291" s="6">
        <v>3</v>
      </c>
      <c r="O291" s="8">
        <f t="shared" si="17"/>
        <v>3512.8500000000004</v>
      </c>
      <c r="P291" t="s">
        <v>219</v>
      </c>
    </row>
    <row r="292" spans="1:16" x14ac:dyDescent="0.3">
      <c r="A292" s="6">
        <v>291</v>
      </c>
      <c r="B292" s="37">
        <v>45930</v>
      </c>
      <c r="C292" s="2" t="str">
        <f t="shared" si="15"/>
        <v>Sept</v>
      </c>
      <c r="D292" s="6">
        <f t="shared" si="16"/>
        <v>2025</v>
      </c>
      <c r="E292" s="6">
        <v>25</v>
      </c>
      <c r="F292" s="4" t="s">
        <v>137</v>
      </c>
      <c r="G292" s="6">
        <v>45</v>
      </c>
      <c r="H292" t="s">
        <v>22</v>
      </c>
      <c r="I292" t="s">
        <v>23</v>
      </c>
      <c r="J292">
        <v>16</v>
      </c>
      <c r="K292" t="s">
        <v>64</v>
      </c>
      <c r="L292" t="s">
        <v>43</v>
      </c>
      <c r="M292" s="8">
        <v>1170.95</v>
      </c>
      <c r="N292" s="6">
        <v>6</v>
      </c>
      <c r="O292" s="8">
        <f t="shared" si="17"/>
        <v>7025.7000000000007</v>
      </c>
      <c r="P292" t="s">
        <v>219</v>
      </c>
    </row>
    <row r="293" spans="1:16" x14ac:dyDescent="0.3">
      <c r="A293" s="6">
        <v>292</v>
      </c>
      <c r="B293" s="37">
        <v>45699</v>
      </c>
      <c r="C293" s="2" t="str">
        <f t="shared" si="15"/>
        <v>Feb</v>
      </c>
      <c r="D293" s="6">
        <f t="shared" si="16"/>
        <v>2025</v>
      </c>
      <c r="E293" s="6">
        <v>86</v>
      </c>
      <c r="F293" s="4" t="s">
        <v>170</v>
      </c>
      <c r="G293" s="6">
        <v>28</v>
      </c>
      <c r="H293" t="s">
        <v>52</v>
      </c>
      <c r="I293" t="s">
        <v>53</v>
      </c>
      <c r="J293">
        <v>14</v>
      </c>
      <c r="K293" t="s">
        <v>81</v>
      </c>
      <c r="L293" t="s">
        <v>38</v>
      </c>
      <c r="M293" s="8">
        <v>1292.75</v>
      </c>
      <c r="N293" s="6">
        <v>6</v>
      </c>
      <c r="O293" s="8">
        <f t="shared" si="17"/>
        <v>7756.5</v>
      </c>
      <c r="P293" t="s">
        <v>219</v>
      </c>
    </row>
    <row r="294" spans="1:16" x14ac:dyDescent="0.3">
      <c r="A294" s="6">
        <v>293</v>
      </c>
      <c r="B294" s="37">
        <v>45374</v>
      </c>
      <c r="C294" s="2" t="str">
        <f t="shared" si="15"/>
        <v>Mar</v>
      </c>
      <c r="D294" s="6">
        <f t="shared" si="16"/>
        <v>2024</v>
      </c>
      <c r="E294" s="6">
        <v>40</v>
      </c>
      <c r="F294" s="4" t="s">
        <v>134</v>
      </c>
      <c r="G294" s="6">
        <v>67</v>
      </c>
      <c r="H294" t="s">
        <v>59</v>
      </c>
      <c r="I294" t="s">
        <v>33</v>
      </c>
      <c r="J294">
        <v>6</v>
      </c>
      <c r="K294" t="s">
        <v>86</v>
      </c>
      <c r="L294" t="s">
        <v>71</v>
      </c>
      <c r="M294" s="8">
        <v>1330.91</v>
      </c>
      <c r="N294" s="6">
        <v>3</v>
      </c>
      <c r="O294" s="8">
        <f t="shared" si="17"/>
        <v>3992.7300000000005</v>
      </c>
      <c r="P294" t="s">
        <v>222</v>
      </c>
    </row>
    <row r="295" spans="1:16" x14ac:dyDescent="0.3">
      <c r="A295" s="6">
        <v>294</v>
      </c>
      <c r="B295" s="37">
        <v>45982</v>
      </c>
      <c r="C295" s="2" t="str">
        <f t="shared" si="15"/>
        <v>Nov</v>
      </c>
      <c r="D295" s="6">
        <f t="shared" si="16"/>
        <v>2025</v>
      </c>
      <c r="E295" s="6">
        <v>9</v>
      </c>
      <c r="F295" s="4" t="s">
        <v>126</v>
      </c>
      <c r="G295" s="6">
        <v>42</v>
      </c>
      <c r="H295" t="s">
        <v>16</v>
      </c>
      <c r="I295" t="s">
        <v>17</v>
      </c>
      <c r="J295">
        <v>13</v>
      </c>
      <c r="K295" t="s">
        <v>40</v>
      </c>
      <c r="L295" t="s">
        <v>38</v>
      </c>
      <c r="M295" s="8">
        <v>1340.6</v>
      </c>
      <c r="N295" s="6">
        <v>5</v>
      </c>
      <c r="O295" s="8">
        <f t="shared" si="17"/>
        <v>6703</v>
      </c>
      <c r="P295" t="s">
        <v>222</v>
      </c>
    </row>
    <row r="296" spans="1:16" x14ac:dyDescent="0.3">
      <c r="A296" s="6">
        <v>295</v>
      </c>
      <c r="B296" s="37">
        <v>45681</v>
      </c>
      <c r="C296" s="2" t="str">
        <f t="shared" si="15"/>
        <v>Jan</v>
      </c>
      <c r="D296" s="6">
        <f t="shared" si="16"/>
        <v>2025</v>
      </c>
      <c r="E296" s="6">
        <v>68</v>
      </c>
      <c r="F296" s="4" t="s">
        <v>142</v>
      </c>
      <c r="G296" s="6">
        <v>22</v>
      </c>
      <c r="H296" t="s">
        <v>52</v>
      </c>
      <c r="I296" t="s">
        <v>53</v>
      </c>
      <c r="J296">
        <v>15</v>
      </c>
      <c r="K296" t="s">
        <v>67</v>
      </c>
      <c r="L296" t="s">
        <v>38</v>
      </c>
      <c r="M296" s="8">
        <v>1329.92</v>
      </c>
      <c r="N296" s="6">
        <v>3</v>
      </c>
      <c r="O296" s="8">
        <f t="shared" si="17"/>
        <v>3989.76</v>
      </c>
      <c r="P296" t="s">
        <v>220</v>
      </c>
    </row>
    <row r="297" spans="1:16" x14ac:dyDescent="0.3">
      <c r="A297" s="6">
        <v>296</v>
      </c>
      <c r="B297" s="37">
        <v>45933</v>
      </c>
      <c r="C297" s="2" t="str">
        <f t="shared" si="15"/>
        <v>Oct</v>
      </c>
      <c r="D297" s="6">
        <f t="shared" si="16"/>
        <v>2025</v>
      </c>
      <c r="E297" s="6">
        <v>107</v>
      </c>
      <c r="F297" s="4" t="s">
        <v>180</v>
      </c>
      <c r="G297" s="6">
        <v>18</v>
      </c>
      <c r="H297" t="s">
        <v>32</v>
      </c>
      <c r="I297" t="s">
        <v>33</v>
      </c>
      <c r="J297">
        <v>16</v>
      </c>
      <c r="K297" t="s">
        <v>64</v>
      </c>
      <c r="L297" t="s">
        <v>43</v>
      </c>
      <c r="M297" s="8">
        <v>1170.95</v>
      </c>
      <c r="N297" s="6">
        <v>6</v>
      </c>
      <c r="O297" s="8">
        <f t="shared" si="17"/>
        <v>7025.7000000000007</v>
      </c>
      <c r="P297" t="s">
        <v>222</v>
      </c>
    </row>
    <row r="298" spans="1:16" x14ac:dyDescent="0.3">
      <c r="A298" s="6">
        <v>297</v>
      </c>
      <c r="B298" s="37">
        <v>45791</v>
      </c>
      <c r="C298" s="2" t="str">
        <f t="shared" si="15"/>
        <v>May</v>
      </c>
      <c r="D298" s="6">
        <f t="shared" si="16"/>
        <v>2025</v>
      </c>
      <c r="E298" s="6">
        <v>87</v>
      </c>
      <c r="F298" s="4" t="s">
        <v>183</v>
      </c>
      <c r="G298" s="6">
        <v>45</v>
      </c>
      <c r="H298" t="s">
        <v>52</v>
      </c>
      <c r="I298" t="s">
        <v>53</v>
      </c>
      <c r="J298">
        <v>28</v>
      </c>
      <c r="K298" t="s">
        <v>77</v>
      </c>
      <c r="L298" t="s">
        <v>25</v>
      </c>
      <c r="M298" s="8">
        <v>486.19</v>
      </c>
      <c r="N298" s="6">
        <v>5</v>
      </c>
      <c r="O298" s="8">
        <f t="shared" si="17"/>
        <v>2430.9499999999998</v>
      </c>
      <c r="P298" t="s">
        <v>219</v>
      </c>
    </row>
    <row r="299" spans="1:16" x14ac:dyDescent="0.3">
      <c r="A299" s="6">
        <v>298</v>
      </c>
      <c r="B299" s="37">
        <v>45328</v>
      </c>
      <c r="C299" s="2" t="str">
        <f t="shared" si="15"/>
        <v>Feb</v>
      </c>
      <c r="D299" s="6">
        <f t="shared" si="16"/>
        <v>2024</v>
      </c>
      <c r="E299" s="6">
        <v>30</v>
      </c>
      <c r="F299" s="4" t="s">
        <v>135</v>
      </c>
      <c r="G299" s="6">
        <v>61</v>
      </c>
      <c r="H299" t="s">
        <v>22</v>
      </c>
      <c r="I299" t="s">
        <v>23</v>
      </c>
      <c r="J299">
        <v>25</v>
      </c>
      <c r="K299" t="s">
        <v>61</v>
      </c>
      <c r="L299" t="s">
        <v>19</v>
      </c>
      <c r="M299" s="8">
        <v>705</v>
      </c>
      <c r="N299" s="6">
        <v>5</v>
      </c>
      <c r="O299" s="8">
        <f t="shared" si="17"/>
        <v>3525</v>
      </c>
      <c r="P299" t="s">
        <v>221</v>
      </c>
    </row>
    <row r="300" spans="1:16" x14ac:dyDescent="0.3">
      <c r="A300" s="6">
        <v>299</v>
      </c>
      <c r="B300" s="37">
        <v>45362</v>
      </c>
      <c r="C300" s="2" t="str">
        <f t="shared" si="15"/>
        <v>Mar</v>
      </c>
      <c r="D300" s="6">
        <f t="shared" si="16"/>
        <v>2024</v>
      </c>
      <c r="E300" s="6">
        <v>52</v>
      </c>
      <c r="F300" s="4" t="s">
        <v>126</v>
      </c>
      <c r="G300" s="6">
        <v>60</v>
      </c>
      <c r="H300" t="s">
        <v>49</v>
      </c>
      <c r="I300" t="s">
        <v>50</v>
      </c>
      <c r="J300">
        <v>18</v>
      </c>
      <c r="K300" t="s">
        <v>68</v>
      </c>
      <c r="L300" t="s">
        <v>43</v>
      </c>
      <c r="M300" s="8">
        <v>1209.0999999999999</v>
      </c>
      <c r="N300" s="6">
        <v>2</v>
      </c>
      <c r="O300" s="8">
        <f t="shared" si="17"/>
        <v>2418.1999999999998</v>
      </c>
      <c r="P300" t="s">
        <v>220</v>
      </c>
    </row>
    <row r="301" spans="1:16" x14ac:dyDescent="0.3">
      <c r="A301" s="6">
        <v>300</v>
      </c>
      <c r="B301" s="37">
        <v>45938</v>
      </c>
      <c r="C301" s="2" t="str">
        <f t="shared" si="15"/>
        <v>Oct</v>
      </c>
      <c r="D301" s="6">
        <f t="shared" si="16"/>
        <v>2025</v>
      </c>
      <c r="E301" s="6">
        <v>15</v>
      </c>
      <c r="F301" s="4" t="s">
        <v>157</v>
      </c>
      <c r="G301" s="6">
        <v>24</v>
      </c>
      <c r="H301" t="s">
        <v>59</v>
      </c>
      <c r="I301" t="s">
        <v>33</v>
      </c>
      <c r="J301">
        <v>13</v>
      </c>
      <c r="K301" t="s">
        <v>40</v>
      </c>
      <c r="L301" t="s">
        <v>38</v>
      </c>
      <c r="M301" s="8">
        <v>1340.6</v>
      </c>
      <c r="N301" s="6">
        <v>6</v>
      </c>
      <c r="O301" s="8">
        <f t="shared" si="17"/>
        <v>8043.5999999999995</v>
      </c>
      <c r="P301" t="s">
        <v>222</v>
      </c>
    </row>
    <row r="302" spans="1:16" x14ac:dyDescent="0.3">
      <c r="A302" s="6">
        <v>301</v>
      </c>
      <c r="B302" s="37">
        <v>45586</v>
      </c>
      <c r="C302" s="2" t="str">
        <f t="shared" si="15"/>
        <v>Oct</v>
      </c>
      <c r="D302" s="6">
        <f t="shared" si="16"/>
        <v>2024</v>
      </c>
      <c r="E302" s="6">
        <v>82</v>
      </c>
      <c r="F302" s="4" t="s">
        <v>133</v>
      </c>
      <c r="G302" s="6">
        <v>58</v>
      </c>
      <c r="H302" t="s">
        <v>16</v>
      </c>
      <c r="I302" t="s">
        <v>17</v>
      </c>
      <c r="J302">
        <v>29</v>
      </c>
      <c r="K302" t="s">
        <v>65</v>
      </c>
      <c r="L302" t="s">
        <v>25</v>
      </c>
      <c r="M302" s="8">
        <v>1136.55</v>
      </c>
      <c r="N302" s="6">
        <v>2</v>
      </c>
      <c r="O302" s="8">
        <f t="shared" si="17"/>
        <v>2273.1</v>
      </c>
      <c r="P302" t="s">
        <v>220</v>
      </c>
    </row>
    <row r="303" spans="1:16" x14ac:dyDescent="0.3">
      <c r="A303" s="6">
        <v>302</v>
      </c>
      <c r="B303" s="37">
        <v>45384</v>
      </c>
      <c r="C303" s="2" t="str">
        <f t="shared" si="15"/>
        <v>Apr</v>
      </c>
      <c r="D303" s="6">
        <f t="shared" si="16"/>
        <v>2024</v>
      </c>
      <c r="E303" s="6">
        <v>57</v>
      </c>
      <c r="F303" s="4" t="s">
        <v>149</v>
      </c>
      <c r="G303" s="6">
        <v>29</v>
      </c>
      <c r="H303" t="s">
        <v>52</v>
      </c>
      <c r="I303" t="s">
        <v>53</v>
      </c>
      <c r="J303">
        <v>26</v>
      </c>
      <c r="K303" t="s">
        <v>54</v>
      </c>
      <c r="L303" t="s">
        <v>25</v>
      </c>
      <c r="M303" s="8">
        <v>803.73</v>
      </c>
      <c r="N303" s="6">
        <v>4</v>
      </c>
      <c r="O303" s="8">
        <f t="shared" si="17"/>
        <v>3214.92</v>
      </c>
      <c r="P303" t="s">
        <v>222</v>
      </c>
    </row>
    <row r="304" spans="1:16" x14ac:dyDescent="0.3">
      <c r="A304" s="6">
        <v>303</v>
      </c>
      <c r="B304" s="37">
        <v>45392</v>
      </c>
      <c r="C304" s="2" t="str">
        <f t="shared" si="15"/>
        <v>Apr</v>
      </c>
      <c r="D304" s="6">
        <f t="shared" si="16"/>
        <v>2024</v>
      </c>
      <c r="E304" s="6">
        <v>36</v>
      </c>
      <c r="F304" s="4" t="s">
        <v>144</v>
      </c>
      <c r="G304" s="6">
        <v>49</v>
      </c>
      <c r="H304" t="s">
        <v>32</v>
      </c>
      <c r="I304" t="s">
        <v>33</v>
      </c>
      <c r="J304">
        <v>26</v>
      </c>
      <c r="K304" t="s">
        <v>54</v>
      </c>
      <c r="L304" t="s">
        <v>25</v>
      </c>
      <c r="M304" s="8">
        <v>803.73</v>
      </c>
      <c r="N304" s="6">
        <v>6</v>
      </c>
      <c r="O304" s="8">
        <f t="shared" si="17"/>
        <v>4822.38</v>
      </c>
      <c r="P304" t="s">
        <v>220</v>
      </c>
    </row>
    <row r="305" spans="1:16" x14ac:dyDescent="0.3">
      <c r="A305" s="6">
        <v>304</v>
      </c>
      <c r="B305" s="37">
        <v>46012</v>
      </c>
      <c r="C305" s="2" t="str">
        <f t="shared" si="15"/>
        <v>Dec</v>
      </c>
      <c r="D305" s="6">
        <f t="shared" si="16"/>
        <v>2025</v>
      </c>
      <c r="E305" s="6">
        <v>55</v>
      </c>
      <c r="F305" s="4" t="s">
        <v>121</v>
      </c>
      <c r="G305" s="6">
        <v>39</v>
      </c>
      <c r="H305" t="s">
        <v>32</v>
      </c>
      <c r="I305" t="s">
        <v>33</v>
      </c>
      <c r="J305">
        <v>12</v>
      </c>
      <c r="K305" t="s">
        <v>37</v>
      </c>
      <c r="L305" t="s">
        <v>38</v>
      </c>
      <c r="M305" s="8">
        <v>1036.1199999999999</v>
      </c>
      <c r="N305" s="6">
        <v>1</v>
      </c>
      <c r="O305" s="8">
        <f t="shared" si="17"/>
        <v>1036.1199999999999</v>
      </c>
      <c r="P305" t="s">
        <v>222</v>
      </c>
    </row>
    <row r="306" spans="1:16" x14ac:dyDescent="0.3">
      <c r="A306" s="6">
        <v>305</v>
      </c>
      <c r="B306" s="37">
        <v>45746</v>
      </c>
      <c r="C306" s="2" t="str">
        <f t="shared" si="15"/>
        <v>Mar</v>
      </c>
      <c r="D306" s="6">
        <f t="shared" si="16"/>
        <v>2025</v>
      </c>
      <c r="E306" s="6">
        <v>18</v>
      </c>
      <c r="F306" s="4" t="s">
        <v>181</v>
      </c>
      <c r="G306" s="6">
        <v>28</v>
      </c>
      <c r="H306" t="s">
        <v>59</v>
      </c>
      <c r="I306" t="s">
        <v>33</v>
      </c>
      <c r="J306">
        <v>14</v>
      </c>
      <c r="K306" t="s">
        <v>81</v>
      </c>
      <c r="L306" t="s">
        <v>38</v>
      </c>
      <c r="M306" s="8">
        <v>1292.75</v>
      </c>
      <c r="N306" s="6">
        <v>2</v>
      </c>
      <c r="O306" s="8">
        <f t="shared" si="17"/>
        <v>2585.5</v>
      </c>
      <c r="P306" t="s">
        <v>220</v>
      </c>
    </row>
    <row r="307" spans="1:16" x14ac:dyDescent="0.3">
      <c r="A307" s="6">
        <v>306</v>
      </c>
      <c r="B307" s="37">
        <v>46002</v>
      </c>
      <c r="C307" s="2" t="str">
        <f t="shared" si="15"/>
        <v>Dec</v>
      </c>
      <c r="D307" s="6">
        <f t="shared" si="16"/>
        <v>2025</v>
      </c>
      <c r="E307" s="6">
        <v>39</v>
      </c>
      <c r="F307" s="4" t="s">
        <v>178</v>
      </c>
      <c r="G307" s="6">
        <v>49</v>
      </c>
      <c r="H307" t="s">
        <v>59</v>
      </c>
      <c r="I307" t="s">
        <v>33</v>
      </c>
      <c r="J307">
        <v>8</v>
      </c>
      <c r="K307" t="s">
        <v>78</v>
      </c>
      <c r="L307" t="s">
        <v>71</v>
      </c>
      <c r="M307" s="8">
        <v>1081.74</v>
      </c>
      <c r="N307" s="6">
        <v>3</v>
      </c>
      <c r="O307" s="8">
        <f t="shared" si="17"/>
        <v>3245.2200000000003</v>
      </c>
      <c r="P307" t="s">
        <v>220</v>
      </c>
    </row>
    <row r="308" spans="1:16" x14ac:dyDescent="0.3">
      <c r="A308" s="6">
        <v>307</v>
      </c>
      <c r="B308" s="37">
        <v>45321</v>
      </c>
      <c r="C308" s="2" t="str">
        <f t="shared" si="15"/>
        <v>Jan</v>
      </c>
      <c r="D308" s="6">
        <f t="shared" si="16"/>
        <v>2024</v>
      </c>
      <c r="E308" s="6">
        <v>113</v>
      </c>
      <c r="F308" s="4" t="s">
        <v>111</v>
      </c>
      <c r="G308" s="6">
        <v>29</v>
      </c>
      <c r="H308" t="s">
        <v>32</v>
      </c>
      <c r="I308" t="s">
        <v>33</v>
      </c>
      <c r="J308">
        <v>25</v>
      </c>
      <c r="K308" t="s">
        <v>61</v>
      </c>
      <c r="L308" t="s">
        <v>19</v>
      </c>
      <c r="M308" s="8">
        <v>705</v>
      </c>
      <c r="N308" s="6">
        <v>1</v>
      </c>
      <c r="O308" s="8">
        <f t="shared" si="17"/>
        <v>705</v>
      </c>
      <c r="P308" t="s">
        <v>219</v>
      </c>
    </row>
    <row r="309" spans="1:16" x14ac:dyDescent="0.3">
      <c r="A309" s="6">
        <v>308</v>
      </c>
      <c r="B309" s="37">
        <v>45624</v>
      </c>
      <c r="C309" s="2" t="str">
        <f t="shared" si="15"/>
        <v>Nov</v>
      </c>
      <c r="D309" s="6">
        <f t="shared" si="16"/>
        <v>2024</v>
      </c>
      <c r="E309" s="6">
        <v>19</v>
      </c>
      <c r="F309" s="4" t="s">
        <v>169</v>
      </c>
      <c r="G309" s="6">
        <v>42</v>
      </c>
      <c r="H309" t="s">
        <v>49</v>
      </c>
      <c r="I309" t="s">
        <v>50</v>
      </c>
      <c r="J309">
        <v>11</v>
      </c>
      <c r="K309" t="s">
        <v>55</v>
      </c>
      <c r="L309" t="s">
        <v>38</v>
      </c>
      <c r="M309" s="8">
        <v>234.14</v>
      </c>
      <c r="N309" s="6">
        <v>1</v>
      </c>
      <c r="O309" s="8">
        <f t="shared" si="17"/>
        <v>234.14</v>
      </c>
      <c r="P309" t="s">
        <v>222</v>
      </c>
    </row>
    <row r="310" spans="1:16" x14ac:dyDescent="0.3">
      <c r="A310" s="6">
        <v>309</v>
      </c>
      <c r="B310" s="37">
        <v>45592</v>
      </c>
      <c r="C310" s="2" t="str">
        <f t="shared" si="15"/>
        <v>Oct</v>
      </c>
      <c r="D310" s="6">
        <f t="shared" si="16"/>
        <v>2024</v>
      </c>
      <c r="E310" s="6">
        <v>49</v>
      </c>
      <c r="F310" s="4" t="s">
        <v>119</v>
      </c>
      <c r="G310" s="6">
        <v>33</v>
      </c>
      <c r="H310" t="s">
        <v>16</v>
      </c>
      <c r="I310" t="s">
        <v>17</v>
      </c>
      <c r="J310">
        <v>26</v>
      </c>
      <c r="K310" t="s">
        <v>54</v>
      </c>
      <c r="L310" t="s">
        <v>25</v>
      </c>
      <c r="M310" s="8">
        <v>803.73</v>
      </c>
      <c r="N310" s="6">
        <v>3</v>
      </c>
      <c r="O310" s="8">
        <f t="shared" si="17"/>
        <v>2411.19</v>
      </c>
      <c r="P310" t="s">
        <v>221</v>
      </c>
    </row>
    <row r="311" spans="1:16" x14ac:dyDescent="0.3">
      <c r="A311" s="6">
        <v>310</v>
      </c>
      <c r="B311" s="37">
        <v>45675</v>
      </c>
      <c r="C311" s="2" t="str">
        <f t="shared" si="15"/>
        <v>Jan</v>
      </c>
      <c r="D311" s="6">
        <f t="shared" si="16"/>
        <v>2025</v>
      </c>
      <c r="E311" s="6">
        <v>115</v>
      </c>
      <c r="F311" s="4" t="s">
        <v>161</v>
      </c>
      <c r="G311" s="6">
        <v>68</v>
      </c>
      <c r="H311" t="s">
        <v>22</v>
      </c>
      <c r="I311" t="s">
        <v>23</v>
      </c>
      <c r="J311">
        <v>15</v>
      </c>
      <c r="K311" t="s">
        <v>67</v>
      </c>
      <c r="L311" t="s">
        <v>38</v>
      </c>
      <c r="M311" s="8">
        <v>1329.92</v>
      </c>
      <c r="N311" s="6">
        <v>4</v>
      </c>
      <c r="O311" s="8">
        <f t="shared" si="17"/>
        <v>5319.68</v>
      </c>
      <c r="P311" t="s">
        <v>220</v>
      </c>
    </row>
    <row r="312" spans="1:16" x14ac:dyDescent="0.3">
      <c r="A312" s="6">
        <v>311</v>
      </c>
      <c r="B312" s="37">
        <v>45441</v>
      </c>
      <c r="C312" s="2" t="str">
        <f t="shared" si="15"/>
        <v>May</v>
      </c>
      <c r="D312" s="6">
        <f t="shared" si="16"/>
        <v>2024</v>
      </c>
      <c r="E312" s="6">
        <v>72</v>
      </c>
      <c r="F312" s="4" t="s">
        <v>109</v>
      </c>
      <c r="G312" s="6">
        <v>43</v>
      </c>
      <c r="H312" t="s">
        <v>16</v>
      </c>
      <c r="I312" t="s">
        <v>17</v>
      </c>
      <c r="J312">
        <v>29</v>
      </c>
      <c r="K312" t="s">
        <v>65</v>
      </c>
      <c r="L312" t="s">
        <v>25</v>
      </c>
      <c r="M312" s="8">
        <v>1136.55</v>
      </c>
      <c r="N312" s="6">
        <v>2</v>
      </c>
      <c r="O312" s="8">
        <f t="shared" si="17"/>
        <v>2273.1</v>
      </c>
      <c r="P312" t="s">
        <v>220</v>
      </c>
    </row>
    <row r="313" spans="1:16" x14ac:dyDescent="0.3">
      <c r="A313" s="6">
        <v>312</v>
      </c>
      <c r="B313" s="37">
        <v>45835</v>
      </c>
      <c r="C313" s="2" t="str">
        <f t="shared" si="15"/>
        <v>Jun</v>
      </c>
      <c r="D313" s="6">
        <f t="shared" si="16"/>
        <v>2025</v>
      </c>
      <c r="E313" s="6">
        <v>75</v>
      </c>
      <c r="F313" s="4" t="s">
        <v>119</v>
      </c>
      <c r="G313" s="6">
        <v>31</v>
      </c>
      <c r="H313" t="s">
        <v>59</v>
      </c>
      <c r="I313" t="s">
        <v>33</v>
      </c>
      <c r="J313">
        <v>2</v>
      </c>
      <c r="K313" t="s">
        <v>34</v>
      </c>
      <c r="L313" t="s">
        <v>29</v>
      </c>
      <c r="M313" s="8">
        <v>1476.14</v>
      </c>
      <c r="N313" s="6">
        <v>4</v>
      </c>
      <c r="O313" s="8">
        <f t="shared" si="17"/>
        <v>5904.56</v>
      </c>
      <c r="P313" t="s">
        <v>222</v>
      </c>
    </row>
    <row r="314" spans="1:16" x14ac:dyDescent="0.3">
      <c r="A314" s="6">
        <v>313</v>
      </c>
      <c r="B314" s="37">
        <v>45871</v>
      </c>
      <c r="C314" s="2" t="str">
        <f t="shared" si="15"/>
        <v>Aug</v>
      </c>
      <c r="D314" s="6">
        <f t="shared" si="16"/>
        <v>2025</v>
      </c>
      <c r="E314" s="6">
        <v>50</v>
      </c>
      <c r="F314" s="4" t="s">
        <v>185</v>
      </c>
      <c r="G314" s="6">
        <v>26</v>
      </c>
      <c r="H314" t="s">
        <v>52</v>
      </c>
      <c r="I314" t="s">
        <v>53</v>
      </c>
      <c r="J314">
        <v>15</v>
      </c>
      <c r="K314" t="s">
        <v>67</v>
      </c>
      <c r="L314" t="s">
        <v>38</v>
      </c>
      <c r="M314" s="8">
        <v>1329.92</v>
      </c>
      <c r="N314" s="6">
        <v>6</v>
      </c>
      <c r="O314" s="8">
        <f t="shared" si="17"/>
        <v>7979.52</v>
      </c>
      <c r="P314" t="s">
        <v>220</v>
      </c>
    </row>
    <row r="315" spans="1:16" x14ac:dyDescent="0.3">
      <c r="A315" s="6">
        <v>314</v>
      </c>
      <c r="B315" s="37">
        <v>45476</v>
      </c>
      <c r="C315" s="2" t="str">
        <f t="shared" si="15"/>
        <v>Jul</v>
      </c>
      <c r="D315" s="6">
        <f t="shared" si="16"/>
        <v>2024</v>
      </c>
      <c r="E315" s="6">
        <v>13</v>
      </c>
      <c r="F315" s="4" t="s">
        <v>165</v>
      </c>
      <c r="G315" s="6">
        <v>63</v>
      </c>
      <c r="H315" t="s">
        <v>16</v>
      </c>
      <c r="I315" t="s">
        <v>17</v>
      </c>
      <c r="J315">
        <v>24</v>
      </c>
      <c r="K315" t="s">
        <v>45</v>
      </c>
      <c r="L315" t="s">
        <v>19</v>
      </c>
      <c r="M315" s="8">
        <v>213.01</v>
      </c>
      <c r="N315" s="6">
        <v>2</v>
      </c>
      <c r="O315" s="8">
        <f t="shared" si="17"/>
        <v>426.02</v>
      </c>
      <c r="P315" t="s">
        <v>222</v>
      </c>
    </row>
    <row r="316" spans="1:16" x14ac:dyDescent="0.3">
      <c r="A316" s="6">
        <v>315</v>
      </c>
      <c r="B316" s="37">
        <v>45471</v>
      </c>
      <c r="C316" s="2" t="str">
        <f t="shared" si="15"/>
        <v>Jun</v>
      </c>
      <c r="D316" s="6">
        <f t="shared" si="16"/>
        <v>2024</v>
      </c>
      <c r="E316" s="6">
        <v>99</v>
      </c>
      <c r="F316" s="4" t="s">
        <v>154</v>
      </c>
      <c r="G316" s="6">
        <v>40</v>
      </c>
      <c r="H316" t="s">
        <v>49</v>
      </c>
      <c r="I316" t="s">
        <v>50</v>
      </c>
      <c r="J316">
        <v>5</v>
      </c>
      <c r="K316" t="s">
        <v>82</v>
      </c>
      <c r="L316" t="s">
        <v>29</v>
      </c>
      <c r="M316" s="8">
        <v>691.29</v>
      </c>
      <c r="N316" s="6">
        <v>1</v>
      </c>
      <c r="O316" s="8">
        <f t="shared" si="17"/>
        <v>691.29</v>
      </c>
      <c r="P316" t="s">
        <v>221</v>
      </c>
    </row>
    <row r="317" spans="1:16" x14ac:dyDescent="0.3">
      <c r="A317" s="6">
        <v>316</v>
      </c>
      <c r="B317" s="37">
        <v>45916</v>
      </c>
      <c r="C317" s="2" t="str">
        <f t="shared" si="15"/>
        <v>Sept</v>
      </c>
      <c r="D317" s="6">
        <f t="shared" si="16"/>
        <v>2025</v>
      </c>
      <c r="E317" s="6">
        <v>19</v>
      </c>
      <c r="F317" s="4" t="s">
        <v>169</v>
      </c>
      <c r="G317" s="6">
        <v>42</v>
      </c>
      <c r="H317" t="s">
        <v>49</v>
      </c>
      <c r="I317" t="s">
        <v>50</v>
      </c>
      <c r="J317">
        <v>26</v>
      </c>
      <c r="K317" t="s">
        <v>54</v>
      </c>
      <c r="L317" t="s">
        <v>25</v>
      </c>
      <c r="M317" s="8">
        <v>803.73</v>
      </c>
      <c r="N317" s="6">
        <v>4</v>
      </c>
      <c r="O317" s="8">
        <f t="shared" si="17"/>
        <v>3214.92</v>
      </c>
      <c r="P317" t="s">
        <v>222</v>
      </c>
    </row>
    <row r="318" spans="1:16" x14ac:dyDescent="0.3">
      <c r="A318" s="6">
        <v>317</v>
      </c>
      <c r="B318" s="37">
        <v>45926</v>
      </c>
      <c r="C318" s="2" t="str">
        <f t="shared" si="15"/>
        <v>Sept</v>
      </c>
      <c r="D318" s="6">
        <f t="shared" si="16"/>
        <v>2025</v>
      </c>
      <c r="E318" s="6">
        <v>42</v>
      </c>
      <c r="F318" s="4" t="s">
        <v>106</v>
      </c>
      <c r="G318" s="6">
        <v>45</v>
      </c>
      <c r="H318" t="s">
        <v>22</v>
      </c>
      <c r="I318" t="s">
        <v>23</v>
      </c>
      <c r="J318">
        <v>22</v>
      </c>
      <c r="K318" t="s">
        <v>85</v>
      </c>
      <c r="L318" t="s">
        <v>19</v>
      </c>
      <c r="M318" s="8">
        <v>1377.44</v>
      </c>
      <c r="N318" s="6">
        <v>6</v>
      </c>
      <c r="O318" s="8">
        <f t="shared" si="17"/>
        <v>8264.64</v>
      </c>
      <c r="P318" t="s">
        <v>220</v>
      </c>
    </row>
    <row r="319" spans="1:16" x14ac:dyDescent="0.3">
      <c r="A319" s="6">
        <v>318</v>
      </c>
      <c r="B319" s="37">
        <v>45538</v>
      </c>
      <c r="C319" s="2" t="str">
        <f t="shared" si="15"/>
        <v>Sept</v>
      </c>
      <c r="D319" s="6">
        <f t="shared" si="16"/>
        <v>2024</v>
      </c>
      <c r="E319" s="6">
        <v>86</v>
      </c>
      <c r="F319" s="4" t="s">
        <v>170</v>
      </c>
      <c r="G319" s="6">
        <v>28</v>
      </c>
      <c r="H319" t="s">
        <v>52</v>
      </c>
      <c r="I319" t="s">
        <v>53</v>
      </c>
      <c r="J319">
        <v>30</v>
      </c>
      <c r="K319" t="s">
        <v>73</v>
      </c>
      <c r="L319" t="s">
        <v>25</v>
      </c>
      <c r="M319" s="8">
        <v>672.22</v>
      </c>
      <c r="N319" s="6">
        <v>4</v>
      </c>
      <c r="O319" s="8">
        <f t="shared" si="17"/>
        <v>2688.88</v>
      </c>
      <c r="P319" t="s">
        <v>221</v>
      </c>
    </row>
    <row r="320" spans="1:16" x14ac:dyDescent="0.3">
      <c r="A320" s="6">
        <v>319</v>
      </c>
      <c r="B320" s="37">
        <v>45889</v>
      </c>
      <c r="C320" s="2" t="str">
        <f t="shared" si="15"/>
        <v>Aug</v>
      </c>
      <c r="D320" s="6">
        <f t="shared" si="16"/>
        <v>2025</v>
      </c>
      <c r="E320" s="6">
        <v>66</v>
      </c>
      <c r="F320" s="4" t="s">
        <v>167</v>
      </c>
      <c r="G320" s="6">
        <v>55</v>
      </c>
      <c r="H320" t="s">
        <v>16</v>
      </c>
      <c r="I320" t="s">
        <v>17</v>
      </c>
      <c r="J320">
        <v>3</v>
      </c>
      <c r="K320" t="s">
        <v>28</v>
      </c>
      <c r="L320" t="s">
        <v>29</v>
      </c>
      <c r="M320" s="8">
        <v>922.74</v>
      </c>
      <c r="N320" s="6">
        <v>2</v>
      </c>
      <c r="O320" s="8">
        <f t="shared" si="17"/>
        <v>1845.48</v>
      </c>
      <c r="P320" t="s">
        <v>222</v>
      </c>
    </row>
    <row r="321" spans="1:16" x14ac:dyDescent="0.3">
      <c r="A321" s="6">
        <v>320</v>
      </c>
      <c r="B321" s="37">
        <v>45529</v>
      </c>
      <c r="C321" s="2" t="str">
        <f t="shared" si="15"/>
        <v>Aug</v>
      </c>
      <c r="D321" s="6">
        <f t="shared" si="16"/>
        <v>2024</v>
      </c>
      <c r="E321" s="6">
        <v>13</v>
      </c>
      <c r="F321" s="4" t="s">
        <v>165</v>
      </c>
      <c r="G321" s="6">
        <v>63</v>
      </c>
      <c r="H321" t="s">
        <v>16</v>
      </c>
      <c r="I321" t="s">
        <v>17</v>
      </c>
      <c r="J321">
        <v>26</v>
      </c>
      <c r="K321" t="s">
        <v>54</v>
      </c>
      <c r="L321" t="s">
        <v>25</v>
      </c>
      <c r="M321" s="8">
        <v>803.73</v>
      </c>
      <c r="N321" s="6">
        <v>4</v>
      </c>
      <c r="O321" s="8">
        <f t="shared" si="17"/>
        <v>3214.92</v>
      </c>
      <c r="P321" t="s">
        <v>220</v>
      </c>
    </row>
    <row r="322" spans="1:16" x14ac:dyDescent="0.3">
      <c r="A322" s="6">
        <v>321</v>
      </c>
      <c r="B322" s="37">
        <v>45945</v>
      </c>
      <c r="C322" s="2" t="str">
        <f t="shared" ref="C322:C385" si="18">TEXT(B322,"mmm")</f>
        <v>Oct</v>
      </c>
      <c r="D322" s="6">
        <f t="shared" ref="D322:D385" si="19">YEAR(B322)</f>
        <v>2025</v>
      </c>
      <c r="E322" s="6">
        <v>47</v>
      </c>
      <c r="F322" s="4" t="s">
        <v>165</v>
      </c>
      <c r="G322" s="6">
        <v>18</v>
      </c>
      <c r="H322" t="s">
        <v>49</v>
      </c>
      <c r="I322" t="s">
        <v>50</v>
      </c>
      <c r="J322">
        <v>24</v>
      </c>
      <c r="K322" t="s">
        <v>45</v>
      </c>
      <c r="L322" t="s">
        <v>19</v>
      </c>
      <c r="M322" s="8">
        <v>213.01</v>
      </c>
      <c r="N322" s="6">
        <v>3</v>
      </c>
      <c r="O322" s="8">
        <f t="shared" ref="O322:O385" si="20">M322*N322</f>
        <v>639.03</v>
      </c>
      <c r="P322" t="s">
        <v>219</v>
      </c>
    </row>
    <row r="323" spans="1:16" x14ac:dyDescent="0.3">
      <c r="A323" s="6">
        <v>322</v>
      </c>
      <c r="B323" s="37">
        <v>45762</v>
      </c>
      <c r="C323" s="2" t="str">
        <f t="shared" si="18"/>
        <v>Apr</v>
      </c>
      <c r="D323" s="6">
        <f t="shared" si="19"/>
        <v>2025</v>
      </c>
      <c r="E323" s="6">
        <v>13</v>
      </c>
      <c r="F323" s="4" t="s">
        <v>165</v>
      </c>
      <c r="G323" s="6">
        <v>63</v>
      </c>
      <c r="H323" t="s">
        <v>16</v>
      </c>
      <c r="I323" t="s">
        <v>17</v>
      </c>
      <c r="J323">
        <v>29</v>
      </c>
      <c r="K323" t="s">
        <v>65</v>
      </c>
      <c r="L323" t="s">
        <v>25</v>
      </c>
      <c r="M323" s="8">
        <v>1136.55</v>
      </c>
      <c r="N323" s="6">
        <v>3</v>
      </c>
      <c r="O323" s="8">
        <f t="shared" si="20"/>
        <v>3409.6499999999996</v>
      </c>
      <c r="P323" t="s">
        <v>222</v>
      </c>
    </row>
    <row r="324" spans="1:16" x14ac:dyDescent="0.3">
      <c r="A324" s="6">
        <v>323</v>
      </c>
      <c r="B324" s="37">
        <v>45974</v>
      </c>
      <c r="C324" s="2" t="str">
        <f t="shared" si="18"/>
        <v>Nov</v>
      </c>
      <c r="D324" s="6">
        <f t="shared" si="19"/>
        <v>2025</v>
      </c>
      <c r="E324" s="6">
        <v>51</v>
      </c>
      <c r="F324" s="4" t="s">
        <v>153</v>
      </c>
      <c r="G324" s="6">
        <v>69</v>
      </c>
      <c r="H324" t="s">
        <v>52</v>
      </c>
      <c r="I324" t="s">
        <v>53</v>
      </c>
      <c r="J324">
        <v>6</v>
      </c>
      <c r="K324" t="s">
        <v>86</v>
      </c>
      <c r="L324" t="s">
        <v>71</v>
      </c>
      <c r="M324" s="8">
        <v>1330.91</v>
      </c>
      <c r="N324" s="6">
        <v>1</v>
      </c>
      <c r="O324" s="8">
        <f t="shared" si="20"/>
        <v>1330.91</v>
      </c>
      <c r="P324" t="s">
        <v>221</v>
      </c>
    </row>
    <row r="325" spans="1:16" x14ac:dyDescent="0.3">
      <c r="A325" s="6">
        <v>324</v>
      </c>
      <c r="B325" s="37">
        <v>45768</v>
      </c>
      <c r="C325" s="2" t="str">
        <f t="shared" si="18"/>
        <v>Apr</v>
      </c>
      <c r="D325" s="6">
        <f t="shared" si="19"/>
        <v>2025</v>
      </c>
      <c r="E325" s="6">
        <v>37</v>
      </c>
      <c r="F325" s="4" t="s">
        <v>150</v>
      </c>
      <c r="G325" s="6">
        <v>69</v>
      </c>
      <c r="H325" t="s">
        <v>59</v>
      </c>
      <c r="I325" t="s">
        <v>33</v>
      </c>
      <c r="J325">
        <v>6</v>
      </c>
      <c r="K325" t="s">
        <v>86</v>
      </c>
      <c r="L325" t="s">
        <v>71</v>
      </c>
      <c r="M325" s="8">
        <v>1330.91</v>
      </c>
      <c r="N325" s="6">
        <v>3</v>
      </c>
      <c r="O325" s="8">
        <f t="shared" si="20"/>
        <v>3992.7300000000005</v>
      </c>
      <c r="P325" t="s">
        <v>220</v>
      </c>
    </row>
    <row r="326" spans="1:16" x14ac:dyDescent="0.3">
      <c r="A326" s="6">
        <v>325</v>
      </c>
      <c r="B326" s="37">
        <v>45985</v>
      </c>
      <c r="C326" s="2" t="str">
        <f t="shared" si="18"/>
        <v>Nov</v>
      </c>
      <c r="D326" s="6">
        <f t="shared" si="19"/>
        <v>2025</v>
      </c>
      <c r="E326" s="6">
        <v>27</v>
      </c>
      <c r="F326" s="4" t="s">
        <v>122</v>
      </c>
      <c r="G326" s="6">
        <v>25</v>
      </c>
      <c r="H326" t="s">
        <v>52</v>
      </c>
      <c r="I326" t="s">
        <v>53</v>
      </c>
      <c r="J326">
        <v>18</v>
      </c>
      <c r="K326" t="s">
        <v>68</v>
      </c>
      <c r="L326" t="s">
        <v>43</v>
      </c>
      <c r="M326" s="8">
        <v>1209.0999999999999</v>
      </c>
      <c r="N326" s="6">
        <v>5</v>
      </c>
      <c r="O326" s="8">
        <f t="shared" si="20"/>
        <v>6045.5</v>
      </c>
      <c r="P326" t="s">
        <v>219</v>
      </c>
    </row>
    <row r="327" spans="1:16" x14ac:dyDescent="0.3">
      <c r="A327" s="6">
        <v>326</v>
      </c>
      <c r="B327" s="37">
        <v>45453</v>
      </c>
      <c r="C327" s="2" t="str">
        <f t="shared" si="18"/>
        <v>Jun</v>
      </c>
      <c r="D327" s="6">
        <f t="shared" si="19"/>
        <v>2024</v>
      </c>
      <c r="E327" s="6">
        <v>110</v>
      </c>
      <c r="F327" s="4" t="s">
        <v>148</v>
      </c>
      <c r="G327" s="6">
        <v>50</v>
      </c>
      <c r="H327" t="s">
        <v>59</v>
      </c>
      <c r="I327" t="s">
        <v>33</v>
      </c>
      <c r="J327">
        <v>18</v>
      </c>
      <c r="K327" t="s">
        <v>68</v>
      </c>
      <c r="L327" t="s">
        <v>43</v>
      </c>
      <c r="M327" s="8">
        <v>1209.0999999999999</v>
      </c>
      <c r="N327" s="6">
        <v>1</v>
      </c>
      <c r="O327" s="8">
        <f t="shared" si="20"/>
        <v>1209.0999999999999</v>
      </c>
      <c r="P327" t="s">
        <v>221</v>
      </c>
    </row>
    <row r="328" spans="1:16" x14ac:dyDescent="0.3">
      <c r="A328" s="6">
        <v>327</v>
      </c>
      <c r="B328" s="37">
        <v>45744</v>
      </c>
      <c r="C328" s="2" t="str">
        <f t="shared" si="18"/>
        <v>Mar</v>
      </c>
      <c r="D328" s="6">
        <f t="shared" si="19"/>
        <v>2025</v>
      </c>
      <c r="E328" s="6">
        <v>37</v>
      </c>
      <c r="F328" s="4" t="s">
        <v>150</v>
      </c>
      <c r="G328" s="6">
        <v>69</v>
      </c>
      <c r="H328" t="s">
        <v>59</v>
      </c>
      <c r="I328" t="s">
        <v>33</v>
      </c>
      <c r="J328">
        <v>7</v>
      </c>
      <c r="K328" t="s">
        <v>80</v>
      </c>
      <c r="L328" t="s">
        <v>71</v>
      </c>
      <c r="M328" s="8">
        <v>869.87</v>
      </c>
      <c r="N328" s="6">
        <v>3</v>
      </c>
      <c r="O328" s="8">
        <f t="shared" si="20"/>
        <v>2609.61</v>
      </c>
      <c r="P328" t="s">
        <v>219</v>
      </c>
    </row>
    <row r="329" spans="1:16" x14ac:dyDescent="0.3">
      <c r="A329" s="6">
        <v>328</v>
      </c>
      <c r="B329" s="37">
        <v>45893</v>
      </c>
      <c r="C329" s="2" t="str">
        <f t="shared" si="18"/>
        <v>Aug</v>
      </c>
      <c r="D329" s="6">
        <f t="shared" si="19"/>
        <v>2025</v>
      </c>
      <c r="E329" s="6">
        <v>65</v>
      </c>
      <c r="F329" s="4" t="s">
        <v>158</v>
      </c>
      <c r="G329" s="6">
        <v>52</v>
      </c>
      <c r="H329" t="s">
        <v>32</v>
      </c>
      <c r="I329" t="s">
        <v>33</v>
      </c>
      <c r="J329">
        <v>6</v>
      </c>
      <c r="K329" t="s">
        <v>86</v>
      </c>
      <c r="L329" t="s">
        <v>71</v>
      </c>
      <c r="M329" s="8">
        <v>1330.91</v>
      </c>
      <c r="N329" s="6">
        <v>3</v>
      </c>
      <c r="O329" s="8">
        <f t="shared" si="20"/>
        <v>3992.7300000000005</v>
      </c>
      <c r="P329" t="s">
        <v>220</v>
      </c>
    </row>
    <row r="330" spans="1:16" x14ac:dyDescent="0.3">
      <c r="A330" s="6">
        <v>329</v>
      </c>
      <c r="B330" s="37">
        <v>45946</v>
      </c>
      <c r="C330" s="2" t="str">
        <f t="shared" si="18"/>
        <v>Oct</v>
      </c>
      <c r="D330" s="6">
        <f t="shared" si="19"/>
        <v>2025</v>
      </c>
      <c r="E330" s="6">
        <v>15</v>
      </c>
      <c r="F330" s="4" t="s">
        <v>157</v>
      </c>
      <c r="G330" s="6">
        <v>24</v>
      </c>
      <c r="H330" t="s">
        <v>59</v>
      </c>
      <c r="I330" t="s">
        <v>33</v>
      </c>
      <c r="J330">
        <v>3</v>
      </c>
      <c r="K330" t="s">
        <v>28</v>
      </c>
      <c r="L330" t="s">
        <v>29</v>
      </c>
      <c r="M330" s="8">
        <v>922.74</v>
      </c>
      <c r="N330" s="6">
        <v>4</v>
      </c>
      <c r="O330" s="8">
        <f t="shared" si="20"/>
        <v>3690.96</v>
      </c>
      <c r="P330" t="s">
        <v>219</v>
      </c>
    </row>
    <row r="331" spans="1:16" x14ac:dyDescent="0.3">
      <c r="A331" s="6">
        <v>330</v>
      </c>
      <c r="B331" s="37">
        <v>45998</v>
      </c>
      <c r="C331" s="2" t="str">
        <f t="shared" si="18"/>
        <v>Dec</v>
      </c>
      <c r="D331" s="6">
        <f t="shared" si="19"/>
        <v>2025</v>
      </c>
      <c r="E331" s="6">
        <v>23</v>
      </c>
      <c r="F331" s="4" t="s">
        <v>133</v>
      </c>
      <c r="G331" s="6">
        <v>49</v>
      </c>
      <c r="H331" t="s">
        <v>16</v>
      </c>
      <c r="I331" t="s">
        <v>17</v>
      </c>
      <c r="J331">
        <v>29</v>
      </c>
      <c r="K331" t="s">
        <v>65</v>
      </c>
      <c r="L331" t="s">
        <v>25</v>
      </c>
      <c r="M331" s="8">
        <v>1136.55</v>
      </c>
      <c r="N331" s="6">
        <v>3</v>
      </c>
      <c r="O331" s="8">
        <f t="shared" si="20"/>
        <v>3409.6499999999996</v>
      </c>
      <c r="P331" t="s">
        <v>220</v>
      </c>
    </row>
    <row r="332" spans="1:16" x14ac:dyDescent="0.3">
      <c r="A332" s="6">
        <v>331</v>
      </c>
      <c r="B332" s="37">
        <v>45759</v>
      </c>
      <c r="C332" s="2" t="str">
        <f t="shared" si="18"/>
        <v>Apr</v>
      </c>
      <c r="D332" s="6">
        <f t="shared" si="19"/>
        <v>2025</v>
      </c>
      <c r="E332" s="6">
        <v>3</v>
      </c>
      <c r="F332" s="4" t="s">
        <v>155</v>
      </c>
      <c r="G332" s="6">
        <v>20</v>
      </c>
      <c r="H332" t="s">
        <v>59</v>
      </c>
      <c r="I332" t="s">
        <v>33</v>
      </c>
      <c r="J332">
        <v>15</v>
      </c>
      <c r="K332" t="s">
        <v>67</v>
      </c>
      <c r="L332" t="s">
        <v>38</v>
      </c>
      <c r="M332" s="8">
        <v>1329.92</v>
      </c>
      <c r="N332" s="6">
        <v>3</v>
      </c>
      <c r="O332" s="8">
        <f t="shared" si="20"/>
        <v>3989.76</v>
      </c>
      <c r="P332" t="s">
        <v>221</v>
      </c>
    </row>
    <row r="333" spans="1:16" x14ac:dyDescent="0.3">
      <c r="A333" s="6">
        <v>332</v>
      </c>
      <c r="B333" s="37">
        <v>45495</v>
      </c>
      <c r="C333" s="2" t="str">
        <f t="shared" si="18"/>
        <v>Jul</v>
      </c>
      <c r="D333" s="6">
        <f t="shared" si="19"/>
        <v>2024</v>
      </c>
      <c r="E333" s="6">
        <v>62</v>
      </c>
      <c r="F333" s="4" t="s">
        <v>149</v>
      </c>
      <c r="G333" s="6">
        <v>18</v>
      </c>
      <c r="H333" t="s">
        <v>32</v>
      </c>
      <c r="I333" t="s">
        <v>33</v>
      </c>
      <c r="J333">
        <v>26</v>
      </c>
      <c r="K333" t="s">
        <v>54</v>
      </c>
      <c r="L333" t="s">
        <v>25</v>
      </c>
      <c r="M333" s="8">
        <v>803.73</v>
      </c>
      <c r="N333" s="6">
        <v>4</v>
      </c>
      <c r="O333" s="8">
        <f t="shared" si="20"/>
        <v>3214.92</v>
      </c>
      <c r="P333" t="s">
        <v>219</v>
      </c>
    </row>
    <row r="334" spans="1:16" x14ac:dyDescent="0.3">
      <c r="A334" s="6">
        <v>333</v>
      </c>
      <c r="B334" s="37">
        <v>45786</v>
      </c>
      <c r="C334" s="2" t="str">
        <f t="shared" si="18"/>
        <v>May</v>
      </c>
      <c r="D334" s="6">
        <f t="shared" si="19"/>
        <v>2025</v>
      </c>
      <c r="E334" s="6">
        <v>29</v>
      </c>
      <c r="F334" s="4" t="s">
        <v>124</v>
      </c>
      <c r="G334" s="6">
        <v>56</v>
      </c>
      <c r="H334" t="s">
        <v>59</v>
      </c>
      <c r="I334" t="s">
        <v>33</v>
      </c>
      <c r="J334">
        <v>23</v>
      </c>
      <c r="K334" t="s">
        <v>18</v>
      </c>
      <c r="L334" t="s">
        <v>19</v>
      </c>
      <c r="M334" s="8">
        <v>195.22</v>
      </c>
      <c r="N334" s="6">
        <v>1</v>
      </c>
      <c r="O334" s="8">
        <f t="shared" si="20"/>
        <v>195.22</v>
      </c>
      <c r="P334" t="s">
        <v>221</v>
      </c>
    </row>
    <row r="335" spans="1:16" x14ac:dyDescent="0.3">
      <c r="A335" s="6">
        <v>334</v>
      </c>
      <c r="B335" s="37">
        <v>45534</v>
      </c>
      <c r="C335" s="2" t="str">
        <f t="shared" si="18"/>
        <v>Aug</v>
      </c>
      <c r="D335" s="6">
        <f t="shared" si="19"/>
        <v>2024</v>
      </c>
      <c r="E335" s="6">
        <v>17</v>
      </c>
      <c r="F335" s="4" t="s">
        <v>168</v>
      </c>
      <c r="G335" s="6">
        <v>60</v>
      </c>
      <c r="H335" t="s">
        <v>16</v>
      </c>
      <c r="I335" t="s">
        <v>17</v>
      </c>
      <c r="J335">
        <v>16</v>
      </c>
      <c r="K335" t="s">
        <v>64</v>
      </c>
      <c r="L335" t="s">
        <v>43</v>
      </c>
      <c r="M335" s="8">
        <v>1170.95</v>
      </c>
      <c r="N335" s="6">
        <v>4</v>
      </c>
      <c r="O335" s="8">
        <f t="shared" si="20"/>
        <v>4683.8</v>
      </c>
      <c r="P335" t="s">
        <v>222</v>
      </c>
    </row>
    <row r="336" spans="1:16" x14ac:dyDescent="0.3">
      <c r="A336" s="6">
        <v>335</v>
      </c>
      <c r="B336" s="37">
        <v>45877</v>
      </c>
      <c r="C336" s="2" t="str">
        <f t="shared" si="18"/>
        <v>Aug</v>
      </c>
      <c r="D336" s="6">
        <f t="shared" si="19"/>
        <v>2025</v>
      </c>
      <c r="E336" s="6">
        <v>31</v>
      </c>
      <c r="F336" s="4" t="s">
        <v>152</v>
      </c>
      <c r="G336" s="6">
        <v>66</v>
      </c>
      <c r="H336" t="s">
        <v>59</v>
      </c>
      <c r="I336" t="s">
        <v>33</v>
      </c>
      <c r="J336">
        <v>22</v>
      </c>
      <c r="K336" t="s">
        <v>85</v>
      </c>
      <c r="L336" t="s">
        <v>19</v>
      </c>
      <c r="M336" s="8">
        <v>1377.44</v>
      </c>
      <c r="N336" s="6">
        <v>3</v>
      </c>
      <c r="O336" s="8">
        <f t="shared" si="20"/>
        <v>4132.32</v>
      </c>
      <c r="P336" t="s">
        <v>221</v>
      </c>
    </row>
    <row r="337" spans="1:16" x14ac:dyDescent="0.3">
      <c r="A337" s="6">
        <v>336</v>
      </c>
      <c r="B337" s="37">
        <v>45880</v>
      </c>
      <c r="C337" s="2" t="str">
        <f t="shared" si="18"/>
        <v>Aug</v>
      </c>
      <c r="D337" s="6">
        <f t="shared" si="19"/>
        <v>2025</v>
      </c>
      <c r="E337" s="6">
        <v>64</v>
      </c>
      <c r="F337" s="4" t="s">
        <v>186</v>
      </c>
      <c r="G337" s="6">
        <v>36</v>
      </c>
      <c r="H337" t="s">
        <v>52</v>
      </c>
      <c r="I337" t="s">
        <v>53</v>
      </c>
      <c r="J337">
        <v>12</v>
      </c>
      <c r="K337" t="s">
        <v>37</v>
      </c>
      <c r="L337" t="s">
        <v>38</v>
      </c>
      <c r="M337" s="8">
        <v>1036.1199999999999</v>
      </c>
      <c r="N337" s="6">
        <v>3</v>
      </c>
      <c r="O337" s="8">
        <f t="shared" si="20"/>
        <v>3108.3599999999997</v>
      </c>
      <c r="P337" t="s">
        <v>221</v>
      </c>
    </row>
    <row r="338" spans="1:16" x14ac:dyDescent="0.3">
      <c r="A338" s="6">
        <v>337</v>
      </c>
      <c r="B338" s="37">
        <v>46008</v>
      </c>
      <c r="C338" s="2" t="str">
        <f t="shared" si="18"/>
        <v>Dec</v>
      </c>
      <c r="D338" s="6">
        <f t="shared" si="19"/>
        <v>2025</v>
      </c>
      <c r="E338" s="6">
        <v>2</v>
      </c>
      <c r="F338" s="4" t="s">
        <v>128</v>
      </c>
      <c r="G338" s="6">
        <v>24</v>
      </c>
      <c r="H338" t="s">
        <v>49</v>
      </c>
      <c r="I338" t="s">
        <v>50</v>
      </c>
      <c r="J338">
        <v>5</v>
      </c>
      <c r="K338" t="s">
        <v>82</v>
      </c>
      <c r="L338" t="s">
        <v>29</v>
      </c>
      <c r="M338" s="8">
        <v>691.29</v>
      </c>
      <c r="N338" s="6">
        <v>3</v>
      </c>
      <c r="O338" s="8">
        <f t="shared" si="20"/>
        <v>2073.87</v>
      </c>
      <c r="P338" t="s">
        <v>220</v>
      </c>
    </row>
    <row r="339" spans="1:16" x14ac:dyDescent="0.3">
      <c r="A339" s="6">
        <v>338</v>
      </c>
      <c r="B339" s="37">
        <v>45314</v>
      </c>
      <c r="C339" s="2" t="str">
        <f t="shared" si="18"/>
        <v>Jan</v>
      </c>
      <c r="D339" s="6">
        <f t="shared" si="19"/>
        <v>2024</v>
      </c>
      <c r="E339" s="6">
        <v>95</v>
      </c>
      <c r="F339" s="4" t="s">
        <v>115</v>
      </c>
      <c r="G339" s="6">
        <v>19</v>
      </c>
      <c r="H339" t="s">
        <v>52</v>
      </c>
      <c r="I339" t="s">
        <v>53</v>
      </c>
      <c r="J339">
        <v>21</v>
      </c>
      <c r="K339" t="s">
        <v>66</v>
      </c>
      <c r="L339" t="s">
        <v>19</v>
      </c>
      <c r="M339" s="8">
        <v>842.75</v>
      </c>
      <c r="N339" s="6">
        <v>6</v>
      </c>
      <c r="O339" s="8">
        <f t="shared" si="20"/>
        <v>5056.5</v>
      </c>
      <c r="P339" t="s">
        <v>220</v>
      </c>
    </row>
    <row r="340" spans="1:16" x14ac:dyDescent="0.3">
      <c r="A340" s="6">
        <v>339</v>
      </c>
      <c r="B340" s="37">
        <v>45697</v>
      </c>
      <c r="C340" s="2" t="str">
        <f t="shared" si="18"/>
        <v>Feb</v>
      </c>
      <c r="D340" s="6">
        <f t="shared" si="19"/>
        <v>2025</v>
      </c>
      <c r="E340" s="6">
        <v>36</v>
      </c>
      <c r="F340" s="4" t="s">
        <v>144</v>
      </c>
      <c r="G340" s="6">
        <v>49</v>
      </c>
      <c r="H340" t="s">
        <v>32</v>
      </c>
      <c r="I340" t="s">
        <v>33</v>
      </c>
      <c r="J340">
        <v>27</v>
      </c>
      <c r="K340" t="s">
        <v>24</v>
      </c>
      <c r="L340" t="s">
        <v>25</v>
      </c>
      <c r="M340" s="8">
        <v>845</v>
      </c>
      <c r="N340" s="6">
        <v>3</v>
      </c>
      <c r="O340" s="8">
        <f t="shared" si="20"/>
        <v>2535</v>
      </c>
      <c r="P340" t="s">
        <v>220</v>
      </c>
    </row>
    <row r="341" spans="1:16" x14ac:dyDescent="0.3">
      <c r="A341" s="6">
        <v>340</v>
      </c>
      <c r="B341" s="37">
        <v>45300</v>
      </c>
      <c r="C341" s="2" t="str">
        <f t="shared" si="18"/>
        <v>Jan</v>
      </c>
      <c r="D341" s="6">
        <f t="shared" si="19"/>
        <v>2024</v>
      </c>
      <c r="E341" s="6">
        <v>64</v>
      </c>
      <c r="F341" s="4" t="s">
        <v>186</v>
      </c>
      <c r="G341" s="6">
        <v>36</v>
      </c>
      <c r="H341" t="s">
        <v>52</v>
      </c>
      <c r="I341" t="s">
        <v>53</v>
      </c>
      <c r="J341">
        <v>7</v>
      </c>
      <c r="K341" t="s">
        <v>80</v>
      </c>
      <c r="L341" t="s">
        <v>71</v>
      </c>
      <c r="M341" s="8">
        <v>869.87</v>
      </c>
      <c r="N341" s="6">
        <v>5</v>
      </c>
      <c r="O341" s="8">
        <f t="shared" si="20"/>
        <v>4349.3500000000004</v>
      </c>
      <c r="P341" t="s">
        <v>221</v>
      </c>
    </row>
    <row r="342" spans="1:16" x14ac:dyDescent="0.3">
      <c r="A342" s="6">
        <v>341</v>
      </c>
      <c r="B342" s="37">
        <v>45994</v>
      </c>
      <c r="C342" s="2" t="str">
        <f t="shared" si="18"/>
        <v>Dec</v>
      </c>
      <c r="D342" s="6">
        <f t="shared" si="19"/>
        <v>2025</v>
      </c>
      <c r="E342" s="6">
        <v>28</v>
      </c>
      <c r="F342" s="4" t="s">
        <v>189</v>
      </c>
      <c r="G342" s="6">
        <v>45</v>
      </c>
      <c r="H342" t="s">
        <v>52</v>
      </c>
      <c r="I342" t="s">
        <v>53</v>
      </c>
      <c r="J342">
        <v>29</v>
      </c>
      <c r="K342" t="s">
        <v>65</v>
      </c>
      <c r="L342" t="s">
        <v>25</v>
      </c>
      <c r="M342" s="8">
        <v>1136.55</v>
      </c>
      <c r="N342" s="6">
        <v>6</v>
      </c>
      <c r="O342" s="8">
        <f t="shared" si="20"/>
        <v>6819.2999999999993</v>
      </c>
      <c r="P342" t="s">
        <v>222</v>
      </c>
    </row>
    <row r="343" spans="1:16" x14ac:dyDescent="0.3">
      <c r="A343" s="6">
        <v>342</v>
      </c>
      <c r="B343" s="37">
        <v>45342</v>
      </c>
      <c r="C343" s="2" t="str">
        <f t="shared" si="18"/>
        <v>Feb</v>
      </c>
      <c r="D343" s="6">
        <f t="shared" si="19"/>
        <v>2024</v>
      </c>
      <c r="E343" s="6">
        <v>65</v>
      </c>
      <c r="F343" s="4" t="s">
        <v>158</v>
      </c>
      <c r="G343" s="6">
        <v>52</v>
      </c>
      <c r="H343" t="s">
        <v>32</v>
      </c>
      <c r="I343" t="s">
        <v>33</v>
      </c>
      <c r="J343">
        <v>2</v>
      </c>
      <c r="K343" t="s">
        <v>34</v>
      </c>
      <c r="L343" t="s">
        <v>29</v>
      </c>
      <c r="M343" s="8">
        <v>1476.14</v>
      </c>
      <c r="N343" s="6">
        <v>5</v>
      </c>
      <c r="O343" s="8">
        <f t="shared" si="20"/>
        <v>7380.7000000000007</v>
      </c>
      <c r="P343" t="s">
        <v>222</v>
      </c>
    </row>
    <row r="344" spans="1:16" x14ac:dyDescent="0.3">
      <c r="A344" s="6">
        <v>343</v>
      </c>
      <c r="B344" s="37">
        <v>45800</v>
      </c>
      <c r="C344" s="2" t="str">
        <f t="shared" si="18"/>
        <v>May</v>
      </c>
      <c r="D344" s="6">
        <f t="shared" si="19"/>
        <v>2025</v>
      </c>
      <c r="E344" s="6">
        <v>97</v>
      </c>
      <c r="F344" s="4" t="s">
        <v>118</v>
      </c>
      <c r="G344" s="6">
        <v>68</v>
      </c>
      <c r="H344" t="s">
        <v>49</v>
      </c>
      <c r="I344" t="s">
        <v>50</v>
      </c>
      <c r="J344">
        <v>7</v>
      </c>
      <c r="K344" t="s">
        <v>80</v>
      </c>
      <c r="L344" t="s">
        <v>71</v>
      </c>
      <c r="M344" s="8">
        <v>869.87</v>
      </c>
      <c r="N344" s="6">
        <v>3</v>
      </c>
      <c r="O344" s="8">
        <f t="shared" si="20"/>
        <v>2609.61</v>
      </c>
      <c r="P344" t="s">
        <v>219</v>
      </c>
    </row>
    <row r="345" spans="1:16" x14ac:dyDescent="0.3">
      <c r="A345" s="6">
        <v>344</v>
      </c>
      <c r="B345" s="37">
        <v>45527</v>
      </c>
      <c r="C345" s="2" t="str">
        <f t="shared" si="18"/>
        <v>Aug</v>
      </c>
      <c r="D345" s="6">
        <f t="shared" si="19"/>
        <v>2024</v>
      </c>
      <c r="E345" s="6">
        <v>33</v>
      </c>
      <c r="F345" s="4" t="s">
        <v>140</v>
      </c>
      <c r="G345" s="6">
        <v>64</v>
      </c>
      <c r="H345" t="s">
        <v>52</v>
      </c>
      <c r="I345" t="s">
        <v>53</v>
      </c>
      <c r="J345">
        <v>18</v>
      </c>
      <c r="K345" t="s">
        <v>68</v>
      </c>
      <c r="L345" t="s">
        <v>43</v>
      </c>
      <c r="M345" s="8">
        <v>1209.0999999999999</v>
      </c>
      <c r="N345" s="6">
        <v>5</v>
      </c>
      <c r="O345" s="8">
        <f t="shared" si="20"/>
        <v>6045.5</v>
      </c>
      <c r="P345" t="s">
        <v>220</v>
      </c>
    </row>
    <row r="346" spans="1:16" x14ac:dyDescent="0.3">
      <c r="A346" s="6">
        <v>345</v>
      </c>
      <c r="B346" s="37">
        <v>45652</v>
      </c>
      <c r="C346" s="2" t="str">
        <f t="shared" si="18"/>
        <v>Dec</v>
      </c>
      <c r="D346" s="6">
        <f t="shared" si="19"/>
        <v>2024</v>
      </c>
      <c r="E346" s="6">
        <v>14</v>
      </c>
      <c r="F346" s="4" t="s">
        <v>108</v>
      </c>
      <c r="G346" s="6">
        <v>67</v>
      </c>
      <c r="H346" t="s">
        <v>32</v>
      </c>
      <c r="I346" t="s">
        <v>33</v>
      </c>
      <c r="J346">
        <v>18</v>
      </c>
      <c r="K346" t="s">
        <v>68</v>
      </c>
      <c r="L346" t="s">
        <v>43</v>
      </c>
      <c r="M346" s="8">
        <v>1209.0999999999999</v>
      </c>
      <c r="N346" s="6">
        <v>2</v>
      </c>
      <c r="O346" s="8">
        <f t="shared" si="20"/>
        <v>2418.1999999999998</v>
      </c>
      <c r="P346" t="s">
        <v>220</v>
      </c>
    </row>
    <row r="347" spans="1:16" x14ac:dyDescent="0.3">
      <c r="A347" s="6">
        <v>346</v>
      </c>
      <c r="B347" s="37">
        <v>45943</v>
      </c>
      <c r="C347" s="2" t="str">
        <f t="shared" si="18"/>
        <v>Oct</v>
      </c>
      <c r="D347" s="6">
        <f t="shared" si="19"/>
        <v>2025</v>
      </c>
      <c r="E347" s="6">
        <v>72</v>
      </c>
      <c r="F347" s="4" t="s">
        <v>109</v>
      </c>
      <c r="G347" s="6">
        <v>43</v>
      </c>
      <c r="H347" t="s">
        <v>16</v>
      </c>
      <c r="I347" t="s">
        <v>17</v>
      </c>
      <c r="J347">
        <v>27</v>
      </c>
      <c r="K347" t="s">
        <v>24</v>
      </c>
      <c r="L347" t="s">
        <v>25</v>
      </c>
      <c r="M347" s="8">
        <v>845</v>
      </c>
      <c r="N347" s="6">
        <v>2</v>
      </c>
      <c r="O347" s="8">
        <f t="shared" si="20"/>
        <v>1690</v>
      </c>
      <c r="P347" t="s">
        <v>219</v>
      </c>
    </row>
    <row r="348" spans="1:16" x14ac:dyDescent="0.3">
      <c r="A348" s="6">
        <v>347</v>
      </c>
      <c r="B348" s="37">
        <v>45927</v>
      </c>
      <c r="C348" s="2" t="str">
        <f t="shared" si="18"/>
        <v>Sept</v>
      </c>
      <c r="D348" s="6">
        <f t="shared" si="19"/>
        <v>2025</v>
      </c>
      <c r="E348" s="6">
        <v>42</v>
      </c>
      <c r="F348" s="4" t="s">
        <v>106</v>
      </c>
      <c r="G348" s="6">
        <v>45</v>
      </c>
      <c r="H348" t="s">
        <v>22</v>
      </c>
      <c r="I348" t="s">
        <v>23</v>
      </c>
      <c r="J348">
        <v>5</v>
      </c>
      <c r="K348" t="s">
        <v>82</v>
      </c>
      <c r="L348" t="s">
        <v>29</v>
      </c>
      <c r="M348" s="8">
        <v>691.29</v>
      </c>
      <c r="N348" s="6">
        <v>3</v>
      </c>
      <c r="O348" s="8">
        <f t="shared" si="20"/>
        <v>2073.87</v>
      </c>
      <c r="P348" t="s">
        <v>222</v>
      </c>
    </row>
    <row r="349" spans="1:16" x14ac:dyDescent="0.3">
      <c r="A349" s="6">
        <v>348</v>
      </c>
      <c r="B349" s="37">
        <v>45986</v>
      </c>
      <c r="C349" s="2" t="str">
        <f t="shared" si="18"/>
        <v>Nov</v>
      </c>
      <c r="D349" s="6">
        <f t="shared" si="19"/>
        <v>2025</v>
      </c>
      <c r="E349" s="6">
        <v>56</v>
      </c>
      <c r="F349" s="4" t="s">
        <v>129</v>
      </c>
      <c r="G349" s="6">
        <v>30</v>
      </c>
      <c r="H349" t="s">
        <v>59</v>
      </c>
      <c r="I349" t="s">
        <v>33</v>
      </c>
      <c r="J349">
        <v>25</v>
      </c>
      <c r="K349" t="s">
        <v>61</v>
      </c>
      <c r="L349" t="s">
        <v>19</v>
      </c>
      <c r="M349" s="8">
        <v>705</v>
      </c>
      <c r="N349" s="6">
        <v>6</v>
      </c>
      <c r="O349" s="8">
        <f t="shared" si="20"/>
        <v>4230</v>
      </c>
      <c r="P349" t="s">
        <v>221</v>
      </c>
    </row>
    <row r="350" spans="1:16" x14ac:dyDescent="0.3">
      <c r="A350" s="6">
        <v>349</v>
      </c>
      <c r="B350" s="37">
        <v>45967</v>
      </c>
      <c r="C350" s="2" t="str">
        <f t="shared" si="18"/>
        <v>Nov</v>
      </c>
      <c r="D350" s="6">
        <f t="shared" si="19"/>
        <v>2025</v>
      </c>
      <c r="E350" s="6">
        <v>12</v>
      </c>
      <c r="F350" s="4" t="s">
        <v>119</v>
      </c>
      <c r="G350" s="6">
        <v>36</v>
      </c>
      <c r="H350" t="s">
        <v>32</v>
      </c>
      <c r="I350" t="s">
        <v>33</v>
      </c>
      <c r="J350">
        <v>24</v>
      </c>
      <c r="K350" t="s">
        <v>45</v>
      </c>
      <c r="L350" t="s">
        <v>19</v>
      </c>
      <c r="M350" s="8">
        <v>213.01</v>
      </c>
      <c r="N350" s="6">
        <v>6</v>
      </c>
      <c r="O350" s="8">
        <f t="shared" si="20"/>
        <v>1278.06</v>
      </c>
      <c r="P350" t="s">
        <v>222</v>
      </c>
    </row>
    <row r="351" spans="1:16" x14ac:dyDescent="0.3">
      <c r="A351" s="6">
        <v>350</v>
      </c>
      <c r="B351" s="37">
        <v>45432</v>
      </c>
      <c r="C351" s="2" t="str">
        <f t="shared" si="18"/>
        <v>May</v>
      </c>
      <c r="D351" s="6">
        <f t="shared" si="19"/>
        <v>2024</v>
      </c>
      <c r="E351" s="6">
        <v>55</v>
      </c>
      <c r="F351" s="4" t="s">
        <v>121</v>
      </c>
      <c r="G351" s="6">
        <v>39</v>
      </c>
      <c r="H351" t="s">
        <v>32</v>
      </c>
      <c r="I351" t="s">
        <v>33</v>
      </c>
      <c r="J351">
        <v>23</v>
      </c>
      <c r="K351" t="s">
        <v>18</v>
      </c>
      <c r="L351" t="s">
        <v>19</v>
      </c>
      <c r="M351" s="8">
        <v>195.22</v>
      </c>
      <c r="N351" s="6">
        <v>6</v>
      </c>
      <c r="O351" s="8">
        <f t="shared" si="20"/>
        <v>1171.32</v>
      </c>
      <c r="P351" t="s">
        <v>220</v>
      </c>
    </row>
    <row r="352" spans="1:16" x14ac:dyDescent="0.3">
      <c r="A352" s="6">
        <v>351</v>
      </c>
      <c r="B352" s="37">
        <v>45391</v>
      </c>
      <c r="C352" s="2" t="str">
        <f t="shared" si="18"/>
        <v>Apr</v>
      </c>
      <c r="D352" s="6">
        <f t="shared" si="19"/>
        <v>2024</v>
      </c>
      <c r="E352" s="6">
        <v>19</v>
      </c>
      <c r="F352" s="4" t="s">
        <v>169</v>
      </c>
      <c r="G352" s="6">
        <v>42</v>
      </c>
      <c r="H352" t="s">
        <v>49</v>
      </c>
      <c r="I352" t="s">
        <v>50</v>
      </c>
      <c r="J352">
        <v>26</v>
      </c>
      <c r="K352" t="s">
        <v>54</v>
      </c>
      <c r="L352" t="s">
        <v>25</v>
      </c>
      <c r="M352" s="8">
        <v>803.73</v>
      </c>
      <c r="N352" s="6">
        <v>6</v>
      </c>
      <c r="O352" s="8">
        <f t="shared" si="20"/>
        <v>4822.38</v>
      </c>
      <c r="P352" t="s">
        <v>221</v>
      </c>
    </row>
    <row r="353" spans="1:16" x14ac:dyDescent="0.3">
      <c r="A353" s="6">
        <v>352</v>
      </c>
      <c r="B353" s="37">
        <v>45953</v>
      </c>
      <c r="C353" s="2" t="str">
        <f t="shared" si="18"/>
        <v>Oct</v>
      </c>
      <c r="D353" s="6">
        <f t="shared" si="19"/>
        <v>2025</v>
      </c>
      <c r="E353" s="6">
        <v>53</v>
      </c>
      <c r="F353" s="4" t="s">
        <v>124</v>
      </c>
      <c r="G353" s="6">
        <v>47</v>
      </c>
      <c r="H353" t="s">
        <v>16</v>
      </c>
      <c r="I353" t="s">
        <v>17</v>
      </c>
      <c r="J353">
        <v>25</v>
      </c>
      <c r="K353" t="s">
        <v>61</v>
      </c>
      <c r="L353" t="s">
        <v>19</v>
      </c>
      <c r="M353" s="8">
        <v>705</v>
      </c>
      <c r="N353" s="6">
        <v>1</v>
      </c>
      <c r="O353" s="8">
        <f t="shared" si="20"/>
        <v>705</v>
      </c>
      <c r="P353" t="s">
        <v>220</v>
      </c>
    </row>
    <row r="354" spans="1:16" x14ac:dyDescent="0.3">
      <c r="A354" s="6">
        <v>353</v>
      </c>
      <c r="B354" s="37">
        <v>45608</v>
      </c>
      <c r="C354" s="2" t="str">
        <f t="shared" si="18"/>
        <v>Nov</v>
      </c>
      <c r="D354" s="6">
        <f t="shared" si="19"/>
        <v>2024</v>
      </c>
      <c r="E354" s="6">
        <v>51</v>
      </c>
      <c r="F354" s="4" t="s">
        <v>153</v>
      </c>
      <c r="G354" s="6">
        <v>69</v>
      </c>
      <c r="H354" t="s">
        <v>52</v>
      </c>
      <c r="I354" t="s">
        <v>53</v>
      </c>
      <c r="J354">
        <v>12</v>
      </c>
      <c r="K354" t="s">
        <v>37</v>
      </c>
      <c r="L354" t="s">
        <v>38</v>
      </c>
      <c r="M354" s="8">
        <v>1036.1199999999999</v>
      </c>
      <c r="N354" s="6">
        <v>4</v>
      </c>
      <c r="O354" s="8">
        <f t="shared" si="20"/>
        <v>4144.4799999999996</v>
      </c>
      <c r="P354" t="s">
        <v>219</v>
      </c>
    </row>
    <row r="355" spans="1:16" x14ac:dyDescent="0.3">
      <c r="A355" s="6">
        <v>354</v>
      </c>
      <c r="B355" s="37">
        <v>45326</v>
      </c>
      <c r="C355" s="2" t="str">
        <f t="shared" si="18"/>
        <v>Feb</v>
      </c>
      <c r="D355" s="6">
        <f t="shared" si="19"/>
        <v>2024</v>
      </c>
      <c r="E355" s="6">
        <v>25</v>
      </c>
      <c r="F355" s="4" t="s">
        <v>137</v>
      </c>
      <c r="G355" s="6">
        <v>45</v>
      </c>
      <c r="H355" t="s">
        <v>22</v>
      </c>
      <c r="I355" t="s">
        <v>23</v>
      </c>
      <c r="J355">
        <v>23</v>
      </c>
      <c r="K355" t="s">
        <v>18</v>
      </c>
      <c r="L355" t="s">
        <v>19</v>
      </c>
      <c r="M355" s="8">
        <v>195.22</v>
      </c>
      <c r="N355" s="6">
        <v>5</v>
      </c>
      <c r="O355" s="8">
        <f t="shared" si="20"/>
        <v>976.1</v>
      </c>
      <c r="P355" t="s">
        <v>222</v>
      </c>
    </row>
    <row r="356" spans="1:16" x14ac:dyDescent="0.3">
      <c r="A356" s="6">
        <v>355</v>
      </c>
      <c r="B356" s="37">
        <v>45665</v>
      </c>
      <c r="C356" s="2" t="str">
        <f t="shared" si="18"/>
        <v>Jan</v>
      </c>
      <c r="D356" s="6">
        <f t="shared" si="19"/>
        <v>2025</v>
      </c>
      <c r="E356" s="6">
        <v>72</v>
      </c>
      <c r="F356" s="4" t="s">
        <v>109</v>
      </c>
      <c r="G356" s="6">
        <v>43</v>
      </c>
      <c r="H356" t="s">
        <v>16</v>
      </c>
      <c r="I356" t="s">
        <v>17</v>
      </c>
      <c r="J356">
        <v>22</v>
      </c>
      <c r="K356" t="s">
        <v>85</v>
      </c>
      <c r="L356" t="s">
        <v>19</v>
      </c>
      <c r="M356" s="8">
        <v>1377.44</v>
      </c>
      <c r="N356" s="6">
        <v>6</v>
      </c>
      <c r="O356" s="8">
        <f t="shared" si="20"/>
        <v>8264.64</v>
      </c>
      <c r="P356" t="s">
        <v>220</v>
      </c>
    </row>
    <row r="357" spans="1:16" x14ac:dyDescent="0.3">
      <c r="A357" s="6">
        <v>356</v>
      </c>
      <c r="B357" s="37">
        <v>45426</v>
      </c>
      <c r="C357" s="2" t="str">
        <f t="shared" si="18"/>
        <v>May</v>
      </c>
      <c r="D357" s="6">
        <f t="shared" si="19"/>
        <v>2024</v>
      </c>
      <c r="E357" s="6">
        <v>105</v>
      </c>
      <c r="F357" s="4" t="s">
        <v>113</v>
      </c>
      <c r="G357" s="6">
        <v>45</v>
      </c>
      <c r="H357" t="s">
        <v>16</v>
      </c>
      <c r="I357" t="s">
        <v>17</v>
      </c>
      <c r="J357">
        <v>6</v>
      </c>
      <c r="K357" t="s">
        <v>86</v>
      </c>
      <c r="L357" t="s">
        <v>71</v>
      </c>
      <c r="M357" s="8">
        <v>1330.91</v>
      </c>
      <c r="N357" s="6">
        <v>1</v>
      </c>
      <c r="O357" s="8">
        <f t="shared" si="20"/>
        <v>1330.91</v>
      </c>
      <c r="P357" t="s">
        <v>220</v>
      </c>
    </row>
    <row r="358" spans="1:16" x14ac:dyDescent="0.3">
      <c r="A358" s="6">
        <v>357</v>
      </c>
      <c r="B358" s="37">
        <v>45594</v>
      </c>
      <c r="C358" s="2" t="str">
        <f t="shared" si="18"/>
        <v>Oct</v>
      </c>
      <c r="D358" s="6">
        <f t="shared" si="19"/>
        <v>2024</v>
      </c>
      <c r="E358" s="6">
        <v>87</v>
      </c>
      <c r="F358" s="4" t="s">
        <v>183</v>
      </c>
      <c r="G358" s="6">
        <v>45</v>
      </c>
      <c r="H358" t="s">
        <v>52</v>
      </c>
      <c r="I358" t="s">
        <v>53</v>
      </c>
      <c r="J358">
        <v>25</v>
      </c>
      <c r="K358" t="s">
        <v>61</v>
      </c>
      <c r="L358" t="s">
        <v>19</v>
      </c>
      <c r="M358" s="8">
        <v>705</v>
      </c>
      <c r="N358" s="6">
        <v>3</v>
      </c>
      <c r="O358" s="8">
        <f t="shared" si="20"/>
        <v>2115</v>
      </c>
      <c r="P358" t="s">
        <v>219</v>
      </c>
    </row>
    <row r="359" spans="1:16" x14ac:dyDescent="0.3">
      <c r="A359" s="6">
        <v>358</v>
      </c>
      <c r="B359" s="37">
        <v>45717</v>
      </c>
      <c r="C359" s="2" t="str">
        <f t="shared" si="18"/>
        <v>Mar</v>
      </c>
      <c r="D359" s="6">
        <f t="shared" si="19"/>
        <v>2025</v>
      </c>
      <c r="E359" s="6">
        <v>78</v>
      </c>
      <c r="F359" s="4" t="s">
        <v>181</v>
      </c>
      <c r="G359" s="6">
        <v>51</v>
      </c>
      <c r="H359" t="s">
        <v>22</v>
      </c>
      <c r="I359" t="s">
        <v>23</v>
      </c>
      <c r="J359">
        <v>2</v>
      </c>
      <c r="K359" t="s">
        <v>34</v>
      </c>
      <c r="L359" t="s">
        <v>29</v>
      </c>
      <c r="M359" s="8">
        <v>1476.14</v>
      </c>
      <c r="N359" s="6">
        <v>2</v>
      </c>
      <c r="O359" s="8">
        <f t="shared" si="20"/>
        <v>2952.28</v>
      </c>
      <c r="P359" t="s">
        <v>221</v>
      </c>
    </row>
    <row r="360" spans="1:16" x14ac:dyDescent="0.3">
      <c r="A360" s="6">
        <v>359</v>
      </c>
      <c r="B360" s="37">
        <v>45497</v>
      </c>
      <c r="C360" s="2" t="str">
        <f t="shared" si="18"/>
        <v>Jul</v>
      </c>
      <c r="D360" s="6">
        <f t="shared" si="19"/>
        <v>2024</v>
      </c>
      <c r="E360" s="6">
        <v>67</v>
      </c>
      <c r="F360" s="4" t="s">
        <v>131</v>
      </c>
      <c r="G360" s="6">
        <v>23</v>
      </c>
      <c r="H360" t="s">
        <v>52</v>
      </c>
      <c r="I360" t="s">
        <v>53</v>
      </c>
      <c r="J360">
        <v>19</v>
      </c>
      <c r="K360" t="s">
        <v>84</v>
      </c>
      <c r="L360" t="s">
        <v>43</v>
      </c>
      <c r="M360" s="8">
        <v>1048.43</v>
      </c>
      <c r="N360" s="6">
        <v>2</v>
      </c>
      <c r="O360" s="8">
        <f t="shared" si="20"/>
        <v>2096.86</v>
      </c>
      <c r="P360" t="s">
        <v>221</v>
      </c>
    </row>
    <row r="361" spans="1:16" x14ac:dyDescent="0.3">
      <c r="A361" s="6">
        <v>360</v>
      </c>
      <c r="B361" s="37">
        <v>45844</v>
      </c>
      <c r="C361" s="2" t="str">
        <f t="shared" si="18"/>
        <v>Jul</v>
      </c>
      <c r="D361" s="6">
        <f t="shared" si="19"/>
        <v>2025</v>
      </c>
      <c r="E361" s="6">
        <v>28</v>
      </c>
      <c r="F361" s="4" t="s">
        <v>189</v>
      </c>
      <c r="G361" s="6">
        <v>45</v>
      </c>
      <c r="H361" t="s">
        <v>52</v>
      </c>
      <c r="I361" t="s">
        <v>53</v>
      </c>
      <c r="J361">
        <v>21</v>
      </c>
      <c r="K361" t="s">
        <v>66</v>
      </c>
      <c r="L361" t="s">
        <v>19</v>
      </c>
      <c r="M361" s="8">
        <v>842.75</v>
      </c>
      <c r="N361" s="6">
        <v>3</v>
      </c>
      <c r="O361" s="8">
        <f t="shared" si="20"/>
        <v>2528.25</v>
      </c>
      <c r="P361" t="s">
        <v>221</v>
      </c>
    </row>
    <row r="362" spans="1:16" x14ac:dyDescent="0.3">
      <c r="A362" s="6">
        <v>361</v>
      </c>
      <c r="B362" s="37">
        <v>45835</v>
      </c>
      <c r="C362" s="2" t="str">
        <f t="shared" si="18"/>
        <v>Jun</v>
      </c>
      <c r="D362" s="6">
        <f t="shared" si="19"/>
        <v>2025</v>
      </c>
      <c r="E362" s="6">
        <v>42</v>
      </c>
      <c r="F362" s="4" t="s">
        <v>106</v>
      </c>
      <c r="G362" s="6">
        <v>45</v>
      </c>
      <c r="H362" t="s">
        <v>22</v>
      </c>
      <c r="I362" t="s">
        <v>23</v>
      </c>
      <c r="J362">
        <v>22</v>
      </c>
      <c r="K362" t="s">
        <v>85</v>
      </c>
      <c r="L362" t="s">
        <v>19</v>
      </c>
      <c r="M362" s="8">
        <v>1377.44</v>
      </c>
      <c r="N362" s="6">
        <v>5</v>
      </c>
      <c r="O362" s="8">
        <f t="shared" si="20"/>
        <v>6887.2000000000007</v>
      </c>
      <c r="P362" t="s">
        <v>220</v>
      </c>
    </row>
    <row r="363" spans="1:16" x14ac:dyDescent="0.3">
      <c r="A363" s="6">
        <v>362</v>
      </c>
      <c r="B363" s="37">
        <v>45571</v>
      </c>
      <c r="C363" s="2" t="str">
        <f t="shared" si="18"/>
        <v>Oct</v>
      </c>
      <c r="D363" s="6">
        <f t="shared" si="19"/>
        <v>2024</v>
      </c>
      <c r="E363" s="6">
        <v>74</v>
      </c>
      <c r="F363" s="4" t="s">
        <v>173</v>
      </c>
      <c r="G363" s="6">
        <v>57</v>
      </c>
      <c r="H363" t="s">
        <v>59</v>
      </c>
      <c r="I363" t="s">
        <v>33</v>
      </c>
      <c r="J363">
        <v>15</v>
      </c>
      <c r="K363" t="s">
        <v>67</v>
      </c>
      <c r="L363" t="s">
        <v>38</v>
      </c>
      <c r="M363" s="8">
        <v>1329.92</v>
      </c>
      <c r="N363" s="6">
        <v>2</v>
      </c>
      <c r="O363" s="8">
        <f t="shared" si="20"/>
        <v>2659.84</v>
      </c>
      <c r="P363" t="s">
        <v>221</v>
      </c>
    </row>
    <row r="364" spans="1:16" x14ac:dyDescent="0.3">
      <c r="A364" s="6">
        <v>363</v>
      </c>
      <c r="B364" s="37">
        <v>45555</v>
      </c>
      <c r="C364" s="2" t="str">
        <f t="shared" si="18"/>
        <v>Sept</v>
      </c>
      <c r="D364" s="6">
        <f t="shared" si="19"/>
        <v>2024</v>
      </c>
      <c r="E364" s="6">
        <v>71</v>
      </c>
      <c r="F364" s="4" t="s">
        <v>138</v>
      </c>
      <c r="G364" s="6">
        <v>31</v>
      </c>
      <c r="H364" t="s">
        <v>16</v>
      </c>
      <c r="I364" t="s">
        <v>17</v>
      </c>
      <c r="J364">
        <v>26</v>
      </c>
      <c r="K364" t="s">
        <v>54</v>
      </c>
      <c r="L364" t="s">
        <v>25</v>
      </c>
      <c r="M364" s="8">
        <v>803.73</v>
      </c>
      <c r="N364" s="6">
        <v>4</v>
      </c>
      <c r="O364" s="8">
        <f t="shared" si="20"/>
        <v>3214.92</v>
      </c>
      <c r="P364" t="s">
        <v>221</v>
      </c>
    </row>
    <row r="365" spans="1:16" x14ac:dyDescent="0.3">
      <c r="A365" s="6">
        <v>364</v>
      </c>
      <c r="B365" s="37">
        <v>45594</v>
      </c>
      <c r="C365" s="2" t="str">
        <f t="shared" si="18"/>
        <v>Oct</v>
      </c>
      <c r="D365" s="6">
        <f t="shared" si="19"/>
        <v>2024</v>
      </c>
      <c r="E365" s="6">
        <v>6</v>
      </c>
      <c r="F365" s="4" t="s">
        <v>153</v>
      </c>
      <c r="G365" s="6">
        <v>55</v>
      </c>
      <c r="H365" t="s">
        <v>32</v>
      </c>
      <c r="I365" t="s">
        <v>33</v>
      </c>
      <c r="J365">
        <v>14</v>
      </c>
      <c r="K365" t="s">
        <v>81</v>
      </c>
      <c r="L365" t="s">
        <v>38</v>
      </c>
      <c r="M365" s="8">
        <v>1292.75</v>
      </c>
      <c r="N365" s="6">
        <v>6</v>
      </c>
      <c r="O365" s="8">
        <f t="shared" si="20"/>
        <v>7756.5</v>
      </c>
      <c r="P365" t="s">
        <v>219</v>
      </c>
    </row>
    <row r="366" spans="1:16" x14ac:dyDescent="0.3">
      <c r="A366" s="6">
        <v>365</v>
      </c>
      <c r="B366" s="37">
        <v>45638</v>
      </c>
      <c r="C366" s="2" t="str">
        <f t="shared" si="18"/>
        <v>Dec</v>
      </c>
      <c r="D366" s="6">
        <f t="shared" si="19"/>
        <v>2024</v>
      </c>
      <c r="E366" s="6">
        <v>116</v>
      </c>
      <c r="F366" s="4" t="s">
        <v>164</v>
      </c>
      <c r="G366" s="6">
        <v>46</v>
      </c>
      <c r="H366" t="s">
        <v>16</v>
      </c>
      <c r="I366" t="s">
        <v>17</v>
      </c>
      <c r="J366">
        <v>12</v>
      </c>
      <c r="K366" t="s">
        <v>37</v>
      </c>
      <c r="L366" t="s">
        <v>38</v>
      </c>
      <c r="M366" s="8">
        <v>1036.1199999999999</v>
      </c>
      <c r="N366" s="6">
        <v>1</v>
      </c>
      <c r="O366" s="8">
        <f t="shared" si="20"/>
        <v>1036.1199999999999</v>
      </c>
      <c r="P366" t="s">
        <v>222</v>
      </c>
    </row>
    <row r="367" spans="1:16" x14ac:dyDescent="0.3">
      <c r="A367" s="6">
        <v>366</v>
      </c>
      <c r="B367" s="37">
        <v>45771</v>
      </c>
      <c r="C367" s="2" t="str">
        <f t="shared" si="18"/>
        <v>Apr</v>
      </c>
      <c r="D367" s="6">
        <f t="shared" si="19"/>
        <v>2025</v>
      </c>
      <c r="E367" s="6">
        <v>14</v>
      </c>
      <c r="F367" s="4" t="s">
        <v>108</v>
      </c>
      <c r="G367" s="6">
        <v>67</v>
      </c>
      <c r="H367" t="s">
        <v>32</v>
      </c>
      <c r="I367" t="s">
        <v>33</v>
      </c>
      <c r="J367">
        <v>5</v>
      </c>
      <c r="K367" t="s">
        <v>82</v>
      </c>
      <c r="L367" t="s">
        <v>29</v>
      </c>
      <c r="M367" s="8">
        <v>691.29</v>
      </c>
      <c r="N367" s="6">
        <v>1</v>
      </c>
      <c r="O367" s="8">
        <f t="shared" si="20"/>
        <v>691.29</v>
      </c>
      <c r="P367" t="s">
        <v>221</v>
      </c>
    </row>
    <row r="368" spans="1:16" x14ac:dyDescent="0.3">
      <c r="A368" s="6">
        <v>367</v>
      </c>
      <c r="B368" s="37">
        <v>45436</v>
      </c>
      <c r="C368" s="2" t="str">
        <f t="shared" si="18"/>
        <v>May</v>
      </c>
      <c r="D368" s="6">
        <f t="shared" si="19"/>
        <v>2024</v>
      </c>
      <c r="E368" s="6">
        <v>66</v>
      </c>
      <c r="F368" s="4" t="s">
        <v>167</v>
      </c>
      <c r="G368" s="6">
        <v>55</v>
      </c>
      <c r="H368" t="s">
        <v>16</v>
      </c>
      <c r="I368" t="s">
        <v>17</v>
      </c>
      <c r="J368">
        <v>2</v>
      </c>
      <c r="K368" t="s">
        <v>34</v>
      </c>
      <c r="L368" t="s">
        <v>29</v>
      </c>
      <c r="M368" s="8">
        <v>1476.14</v>
      </c>
      <c r="N368" s="6">
        <v>2</v>
      </c>
      <c r="O368" s="8">
        <f t="shared" si="20"/>
        <v>2952.28</v>
      </c>
      <c r="P368" t="s">
        <v>222</v>
      </c>
    </row>
    <row r="369" spans="1:16" x14ac:dyDescent="0.3">
      <c r="A369" s="6">
        <v>368</v>
      </c>
      <c r="B369" s="37">
        <v>45984</v>
      </c>
      <c r="C369" s="2" t="str">
        <f t="shared" si="18"/>
        <v>Nov</v>
      </c>
      <c r="D369" s="6">
        <f t="shared" si="19"/>
        <v>2025</v>
      </c>
      <c r="E369" s="6">
        <v>48</v>
      </c>
      <c r="F369" s="4" t="s">
        <v>114</v>
      </c>
      <c r="G369" s="6">
        <v>20</v>
      </c>
      <c r="H369" t="s">
        <v>32</v>
      </c>
      <c r="I369" t="s">
        <v>33</v>
      </c>
      <c r="J369">
        <v>3</v>
      </c>
      <c r="K369" t="s">
        <v>28</v>
      </c>
      <c r="L369" t="s">
        <v>29</v>
      </c>
      <c r="M369" s="8">
        <v>922.74</v>
      </c>
      <c r="N369" s="6">
        <v>6</v>
      </c>
      <c r="O369" s="8">
        <f t="shared" si="20"/>
        <v>5536.4400000000005</v>
      </c>
      <c r="P369" t="s">
        <v>221</v>
      </c>
    </row>
    <row r="370" spans="1:16" x14ac:dyDescent="0.3">
      <c r="A370" s="6">
        <v>369</v>
      </c>
      <c r="B370" s="37">
        <v>45982</v>
      </c>
      <c r="C370" s="2" t="str">
        <f t="shared" si="18"/>
        <v>Nov</v>
      </c>
      <c r="D370" s="6">
        <f t="shared" si="19"/>
        <v>2025</v>
      </c>
      <c r="E370" s="6">
        <v>84</v>
      </c>
      <c r="F370" s="4" t="s">
        <v>182</v>
      </c>
      <c r="G370" s="6">
        <v>45</v>
      </c>
      <c r="H370" t="s">
        <v>32</v>
      </c>
      <c r="I370" t="s">
        <v>33</v>
      </c>
      <c r="J370">
        <v>2</v>
      </c>
      <c r="K370" t="s">
        <v>34</v>
      </c>
      <c r="L370" t="s">
        <v>29</v>
      </c>
      <c r="M370" s="8">
        <v>1476.14</v>
      </c>
      <c r="N370" s="6">
        <v>4</v>
      </c>
      <c r="O370" s="8">
        <f t="shared" si="20"/>
        <v>5904.56</v>
      </c>
      <c r="P370" t="s">
        <v>222</v>
      </c>
    </row>
    <row r="371" spans="1:16" x14ac:dyDescent="0.3">
      <c r="A371" s="6">
        <v>370</v>
      </c>
      <c r="B371" s="37">
        <v>45862</v>
      </c>
      <c r="C371" s="2" t="str">
        <f t="shared" si="18"/>
        <v>Jul</v>
      </c>
      <c r="D371" s="6">
        <f t="shared" si="19"/>
        <v>2025</v>
      </c>
      <c r="E371" s="6">
        <v>67</v>
      </c>
      <c r="F371" s="4" t="s">
        <v>131</v>
      </c>
      <c r="G371" s="6">
        <v>23</v>
      </c>
      <c r="H371" t="s">
        <v>52</v>
      </c>
      <c r="I371" t="s">
        <v>53</v>
      </c>
      <c r="J371">
        <v>28</v>
      </c>
      <c r="K371" t="s">
        <v>77</v>
      </c>
      <c r="L371" t="s">
        <v>25</v>
      </c>
      <c r="M371" s="8">
        <v>486.19</v>
      </c>
      <c r="N371" s="6">
        <v>3</v>
      </c>
      <c r="O371" s="8">
        <f t="shared" si="20"/>
        <v>1458.57</v>
      </c>
      <c r="P371" t="s">
        <v>220</v>
      </c>
    </row>
    <row r="372" spans="1:16" x14ac:dyDescent="0.3">
      <c r="A372" s="6">
        <v>371</v>
      </c>
      <c r="B372" s="37">
        <v>45384</v>
      </c>
      <c r="C372" s="2" t="str">
        <f t="shared" si="18"/>
        <v>Apr</v>
      </c>
      <c r="D372" s="6">
        <f t="shared" si="19"/>
        <v>2024</v>
      </c>
      <c r="E372" s="6">
        <v>99</v>
      </c>
      <c r="F372" s="4" t="s">
        <v>154</v>
      </c>
      <c r="G372" s="6">
        <v>40</v>
      </c>
      <c r="H372" t="s">
        <v>49</v>
      </c>
      <c r="I372" t="s">
        <v>50</v>
      </c>
      <c r="J372">
        <v>9</v>
      </c>
      <c r="K372" t="s">
        <v>76</v>
      </c>
      <c r="L372" t="s">
        <v>71</v>
      </c>
      <c r="M372" s="8">
        <v>585.21</v>
      </c>
      <c r="N372" s="6">
        <v>4</v>
      </c>
      <c r="O372" s="8">
        <f t="shared" si="20"/>
        <v>2340.84</v>
      </c>
      <c r="P372" t="s">
        <v>221</v>
      </c>
    </row>
    <row r="373" spans="1:16" x14ac:dyDescent="0.3">
      <c r="A373" s="6">
        <v>372</v>
      </c>
      <c r="B373" s="37">
        <v>45306</v>
      </c>
      <c r="C373" s="2" t="str">
        <f t="shared" si="18"/>
        <v>Jan</v>
      </c>
      <c r="D373" s="6">
        <f t="shared" si="19"/>
        <v>2024</v>
      </c>
      <c r="E373" s="6">
        <v>36</v>
      </c>
      <c r="F373" s="4" t="s">
        <v>144</v>
      </c>
      <c r="G373" s="6">
        <v>49</v>
      </c>
      <c r="H373" t="s">
        <v>32</v>
      </c>
      <c r="I373" t="s">
        <v>33</v>
      </c>
      <c r="J373">
        <v>9</v>
      </c>
      <c r="K373" t="s">
        <v>76</v>
      </c>
      <c r="L373" t="s">
        <v>71</v>
      </c>
      <c r="M373" s="8">
        <v>585.21</v>
      </c>
      <c r="N373" s="6">
        <v>3</v>
      </c>
      <c r="O373" s="8">
        <f t="shared" si="20"/>
        <v>1755.63</v>
      </c>
      <c r="P373" t="s">
        <v>221</v>
      </c>
    </row>
    <row r="374" spans="1:16" x14ac:dyDescent="0.3">
      <c r="A374" s="6">
        <v>373</v>
      </c>
      <c r="B374" s="37">
        <v>45841</v>
      </c>
      <c r="C374" s="2" t="str">
        <f t="shared" si="18"/>
        <v>Jul</v>
      </c>
      <c r="D374" s="6">
        <f t="shared" si="19"/>
        <v>2025</v>
      </c>
      <c r="E374" s="6">
        <v>117</v>
      </c>
      <c r="F374" s="4" t="s">
        <v>145</v>
      </c>
      <c r="G374" s="6">
        <v>68</v>
      </c>
      <c r="H374" t="s">
        <v>49</v>
      </c>
      <c r="I374" t="s">
        <v>50</v>
      </c>
      <c r="J374">
        <v>30</v>
      </c>
      <c r="K374" t="s">
        <v>73</v>
      </c>
      <c r="L374" t="s">
        <v>25</v>
      </c>
      <c r="M374" s="8">
        <v>672.22</v>
      </c>
      <c r="N374" s="6">
        <v>1</v>
      </c>
      <c r="O374" s="8">
        <f t="shared" si="20"/>
        <v>672.22</v>
      </c>
      <c r="P374" t="s">
        <v>221</v>
      </c>
    </row>
    <row r="375" spans="1:16" x14ac:dyDescent="0.3">
      <c r="A375" s="6">
        <v>374</v>
      </c>
      <c r="B375" s="37">
        <v>45757</v>
      </c>
      <c r="C375" s="2" t="str">
        <f t="shared" si="18"/>
        <v>Apr</v>
      </c>
      <c r="D375" s="6">
        <f t="shared" si="19"/>
        <v>2025</v>
      </c>
      <c r="E375" s="6">
        <v>42</v>
      </c>
      <c r="F375" s="4" t="s">
        <v>106</v>
      </c>
      <c r="G375" s="6">
        <v>45</v>
      </c>
      <c r="H375" t="s">
        <v>22</v>
      </c>
      <c r="I375" t="s">
        <v>23</v>
      </c>
      <c r="J375">
        <v>19</v>
      </c>
      <c r="K375" t="s">
        <v>84</v>
      </c>
      <c r="L375" t="s">
        <v>43</v>
      </c>
      <c r="M375" s="8">
        <v>1048.43</v>
      </c>
      <c r="N375" s="6">
        <v>3</v>
      </c>
      <c r="O375" s="8">
        <f t="shared" si="20"/>
        <v>3145.29</v>
      </c>
      <c r="P375" t="s">
        <v>221</v>
      </c>
    </row>
    <row r="376" spans="1:16" x14ac:dyDescent="0.3">
      <c r="A376" s="6">
        <v>375</v>
      </c>
      <c r="B376" s="37">
        <v>45980</v>
      </c>
      <c r="C376" s="2" t="str">
        <f t="shared" si="18"/>
        <v>Nov</v>
      </c>
      <c r="D376" s="6">
        <f t="shared" si="19"/>
        <v>2025</v>
      </c>
      <c r="E376" s="6">
        <v>118</v>
      </c>
      <c r="F376" s="4" t="s">
        <v>141</v>
      </c>
      <c r="G376" s="6">
        <v>36</v>
      </c>
      <c r="H376" t="s">
        <v>52</v>
      </c>
      <c r="I376" t="s">
        <v>53</v>
      </c>
      <c r="J376">
        <v>30</v>
      </c>
      <c r="K376" t="s">
        <v>73</v>
      </c>
      <c r="L376" t="s">
        <v>25</v>
      </c>
      <c r="M376" s="8">
        <v>672.22</v>
      </c>
      <c r="N376" s="6">
        <v>6</v>
      </c>
      <c r="O376" s="8">
        <f t="shared" si="20"/>
        <v>4033.32</v>
      </c>
      <c r="P376" t="s">
        <v>222</v>
      </c>
    </row>
    <row r="377" spans="1:16" x14ac:dyDescent="0.3">
      <c r="A377" s="6">
        <v>376</v>
      </c>
      <c r="B377" s="37">
        <v>45980</v>
      </c>
      <c r="C377" s="2" t="str">
        <f t="shared" si="18"/>
        <v>Nov</v>
      </c>
      <c r="D377" s="6">
        <f t="shared" si="19"/>
        <v>2025</v>
      </c>
      <c r="E377" s="6">
        <v>92</v>
      </c>
      <c r="F377" s="4" t="s">
        <v>141</v>
      </c>
      <c r="G377" s="6">
        <v>40</v>
      </c>
      <c r="H377" t="s">
        <v>49</v>
      </c>
      <c r="I377" t="s">
        <v>50</v>
      </c>
      <c r="J377">
        <v>6</v>
      </c>
      <c r="K377" t="s">
        <v>86</v>
      </c>
      <c r="L377" t="s">
        <v>71</v>
      </c>
      <c r="M377" s="8">
        <v>1330.91</v>
      </c>
      <c r="N377" s="6">
        <v>3</v>
      </c>
      <c r="O377" s="8">
        <f t="shared" si="20"/>
        <v>3992.7300000000005</v>
      </c>
      <c r="P377" t="s">
        <v>221</v>
      </c>
    </row>
    <row r="378" spans="1:16" x14ac:dyDescent="0.3">
      <c r="A378" s="6">
        <v>377</v>
      </c>
      <c r="B378" s="37">
        <v>45890</v>
      </c>
      <c r="C378" s="2" t="str">
        <f t="shared" si="18"/>
        <v>Aug</v>
      </c>
      <c r="D378" s="6">
        <f t="shared" si="19"/>
        <v>2025</v>
      </c>
      <c r="E378" s="6">
        <v>53</v>
      </c>
      <c r="F378" s="4" t="s">
        <v>124</v>
      </c>
      <c r="G378" s="6">
        <v>47</v>
      </c>
      <c r="H378" t="s">
        <v>16</v>
      </c>
      <c r="I378" t="s">
        <v>17</v>
      </c>
      <c r="J378">
        <v>20</v>
      </c>
      <c r="K378" t="s">
        <v>58</v>
      </c>
      <c r="L378" t="s">
        <v>43</v>
      </c>
      <c r="M378" s="8">
        <v>704.86</v>
      </c>
      <c r="N378" s="6">
        <v>4</v>
      </c>
      <c r="O378" s="8">
        <f t="shared" si="20"/>
        <v>2819.44</v>
      </c>
      <c r="P378" t="s">
        <v>221</v>
      </c>
    </row>
    <row r="379" spans="1:16" x14ac:dyDescent="0.3">
      <c r="A379" s="6">
        <v>378</v>
      </c>
      <c r="B379" s="37">
        <v>45945</v>
      </c>
      <c r="C379" s="2" t="str">
        <f t="shared" si="18"/>
        <v>Oct</v>
      </c>
      <c r="D379" s="6">
        <f t="shared" si="19"/>
        <v>2025</v>
      </c>
      <c r="E379" s="6">
        <v>58</v>
      </c>
      <c r="F379" s="4" t="s">
        <v>114</v>
      </c>
      <c r="G379" s="6">
        <v>46</v>
      </c>
      <c r="H379" t="s">
        <v>52</v>
      </c>
      <c r="I379" t="s">
        <v>53</v>
      </c>
      <c r="J379">
        <v>12</v>
      </c>
      <c r="K379" t="s">
        <v>37</v>
      </c>
      <c r="L379" t="s">
        <v>38</v>
      </c>
      <c r="M379" s="8">
        <v>1036.1199999999999</v>
      </c>
      <c r="N379" s="6">
        <v>3</v>
      </c>
      <c r="O379" s="8">
        <f t="shared" si="20"/>
        <v>3108.3599999999997</v>
      </c>
      <c r="P379" t="s">
        <v>221</v>
      </c>
    </row>
    <row r="380" spans="1:16" x14ac:dyDescent="0.3">
      <c r="A380" s="6">
        <v>379</v>
      </c>
      <c r="B380" s="37">
        <v>45402</v>
      </c>
      <c r="C380" s="2" t="str">
        <f t="shared" si="18"/>
        <v>Apr</v>
      </c>
      <c r="D380" s="6">
        <f t="shared" si="19"/>
        <v>2024</v>
      </c>
      <c r="E380" s="6">
        <v>43</v>
      </c>
      <c r="F380" s="4" t="s">
        <v>192</v>
      </c>
      <c r="G380" s="6">
        <v>66</v>
      </c>
      <c r="H380" t="s">
        <v>49</v>
      </c>
      <c r="I380" t="s">
        <v>50</v>
      </c>
      <c r="J380">
        <v>9</v>
      </c>
      <c r="K380" t="s">
        <v>76</v>
      </c>
      <c r="L380" t="s">
        <v>71</v>
      </c>
      <c r="M380" s="8">
        <v>585.21</v>
      </c>
      <c r="N380" s="6">
        <v>6</v>
      </c>
      <c r="O380" s="8">
        <f t="shared" si="20"/>
        <v>3511.26</v>
      </c>
      <c r="P380" t="s">
        <v>221</v>
      </c>
    </row>
    <row r="381" spans="1:16" x14ac:dyDescent="0.3">
      <c r="A381" s="6">
        <v>380</v>
      </c>
      <c r="B381" s="37">
        <v>45531</v>
      </c>
      <c r="C381" s="2" t="str">
        <f t="shared" si="18"/>
        <v>Aug</v>
      </c>
      <c r="D381" s="6">
        <f t="shared" si="19"/>
        <v>2024</v>
      </c>
      <c r="E381" s="6">
        <v>77</v>
      </c>
      <c r="F381" s="4" t="s">
        <v>160</v>
      </c>
      <c r="G381" s="6">
        <v>28</v>
      </c>
      <c r="H381" t="s">
        <v>49</v>
      </c>
      <c r="I381" t="s">
        <v>50</v>
      </c>
      <c r="J381">
        <v>22</v>
      </c>
      <c r="K381" t="s">
        <v>85</v>
      </c>
      <c r="L381" t="s">
        <v>19</v>
      </c>
      <c r="M381" s="8">
        <v>1377.44</v>
      </c>
      <c r="N381" s="6">
        <v>4</v>
      </c>
      <c r="O381" s="8">
        <f t="shared" si="20"/>
        <v>5509.76</v>
      </c>
      <c r="P381" t="s">
        <v>220</v>
      </c>
    </row>
    <row r="382" spans="1:16" x14ac:dyDescent="0.3">
      <c r="A382" s="6">
        <v>381</v>
      </c>
      <c r="B382" s="37">
        <v>45317</v>
      </c>
      <c r="C382" s="2" t="str">
        <f t="shared" si="18"/>
        <v>Jan</v>
      </c>
      <c r="D382" s="6">
        <f t="shared" si="19"/>
        <v>2024</v>
      </c>
      <c r="E382" s="6">
        <v>45</v>
      </c>
      <c r="F382" s="4" t="s">
        <v>132</v>
      </c>
      <c r="G382" s="6">
        <v>46</v>
      </c>
      <c r="H382" t="s">
        <v>16</v>
      </c>
      <c r="I382" t="s">
        <v>17</v>
      </c>
      <c r="J382">
        <v>17</v>
      </c>
      <c r="K382" t="s">
        <v>42</v>
      </c>
      <c r="L382" t="s">
        <v>43</v>
      </c>
      <c r="M382" s="8">
        <v>339.98</v>
      </c>
      <c r="N382" s="6">
        <v>5</v>
      </c>
      <c r="O382" s="8">
        <f t="shared" si="20"/>
        <v>1699.9</v>
      </c>
      <c r="P382" t="s">
        <v>221</v>
      </c>
    </row>
    <row r="383" spans="1:16" x14ac:dyDescent="0.3">
      <c r="A383" s="6">
        <v>382</v>
      </c>
      <c r="B383" s="37">
        <v>45866</v>
      </c>
      <c r="C383" s="2" t="str">
        <f t="shared" si="18"/>
        <v>Jul</v>
      </c>
      <c r="D383" s="6">
        <f t="shared" si="19"/>
        <v>2025</v>
      </c>
      <c r="E383" s="6">
        <v>14</v>
      </c>
      <c r="F383" s="4" t="s">
        <v>108</v>
      </c>
      <c r="G383" s="6">
        <v>67</v>
      </c>
      <c r="H383" t="s">
        <v>32</v>
      </c>
      <c r="I383" t="s">
        <v>33</v>
      </c>
      <c r="J383">
        <v>22</v>
      </c>
      <c r="K383" t="s">
        <v>85</v>
      </c>
      <c r="L383" t="s">
        <v>19</v>
      </c>
      <c r="M383" s="8">
        <v>1377.44</v>
      </c>
      <c r="N383" s="6">
        <v>3</v>
      </c>
      <c r="O383" s="8">
        <f t="shared" si="20"/>
        <v>4132.32</v>
      </c>
      <c r="P383" t="s">
        <v>221</v>
      </c>
    </row>
    <row r="384" spans="1:16" x14ac:dyDescent="0.3">
      <c r="A384" s="6">
        <v>383</v>
      </c>
      <c r="B384" s="37">
        <v>45916</v>
      </c>
      <c r="C384" s="2" t="str">
        <f t="shared" si="18"/>
        <v>Sept</v>
      </c>
      <c r="D384" s="6">
        <f t="shared" si="19"/>
        <v>2025</v>
      </c>
      <c r="E384" s="6">
        <v>113</v>
      </c>
      <c r="F384" s="4" t="s">
        <v>111</v>
      </c>
      <c r="G384" s="6">
        <v>29</v>
      </c>
      <c r="H384" t="s">
        <v>32</v>
      </c>
      <c r="I384" t="s">
        <v>33</v>
      </c>
      <c r="J384">
        <v>8</v>
      </c>
      <c r="K384" t="s">
        <v>78</v>
      </c>
      <c r="L384" t="s">
        <v>71</v>
      </c>
      <c r="M384" s="8">
        <v>1081.74</v>
      </c>
      <c r="N384" s="6">
        <v>2</v>
      </c>
      <c r="O384" s="8">
        <f t="shared" si="20"/>
        <v>2163.48</v>
      </c>
      <c r="P384" t="s">
        <v>219</v>
      </c>
    </row>
    <row r="385" spans="1:16" x14ac:dyDescent="0.3">
      <c r="A385" s="6">
        <v>384</v>
      </c>
      <c r="B385" s="37">
        <v>45955</v>
      </c>
      <c r="C385" s="2" t="str">
        <f t="shared" si="18"/>
        <v>Oct</v>
      </c>
      <c r="D385" s="6">
        <f t="shared" si="19"/>
        <v>2025</v>
      </c>
      <c r="E385" s="6">
        <v>117</v>
      </c>
      <c r="F385" s="4" t="s">
        <v>145</v>
      </c>
      <c r="G385" s="6">
        <v>68</v>
      </c>
      <c r="H385" t="s">
        <v>49</v>
      </c>
      <c r="I385" t="s">
        <v>50</v>
      </c>
      <c r="J385">
        <v>25</v>
      </c>
      <c r="K385" t="s">
        <v>61</v>
      </c>
      <c r="L385" t="s">
        <v>19</v>
      </c>
      <c r="M385" s="8">
        <v>705</v>
      </c>
      <c r="N385" s="6">
        <v>1</v>
      </c>
      <c r="O385" s="8">
        <f t="shared" si="20"/>
        <v>705</v>
      </c>
      <c r="P385" t="s">
        <v>220</v>
      </c>
    </row>
    <row r="386" spans="1:16" x14ac:dyDescent="0.3">
      <c r="A386" s="6">
        <v>385</v>
      </c>
      <c r="B386" s="37">
        <v>45942</v>
      </c>
      <c r="C386" s="2" t="str">
        <f t="shared" ref="C386:C449" si="21">TEXT(B386,"mmm")</f>
        <v>Oct</v>
      </c>
      <c r="D386" s="6">
        <f t="shared" ref="D386:D449" si="22">YEAR(B386)</f>
        <v>2025</v>
      </c>
      <c r="E386" s="6">
        <v>79</v>
      </c>
      <c r="F386" s="4" t="s">
        <v>123</v>
      </c>
      <c r="G386" s="6">
        <v>24</v>
      </c>
      <c r="H386" t="s">
        <v>22</v>
      </c>
      <c r="I386" t="s">
        <v>23</v>
      </c>
      <c r="J386">
        <v>4</v>
      </c>
      <c r="K386" t="s">
        <v>48</v>
      </c>
      <c r="L386" t="s">
        <v>29</v>
      </c>
      <c r="M386" s="8">
        <v>1156.21</v>
      </c>
      <c r="N386" s="6">
        <v>4</v>
      </c>
      <c r="O386" s="8">
        <f t="shared" ref="O386:O449" si="23">M386*N386</f>
        <v>4624.84</v>
      </c>
      <c r="P386" t="s">
        <v>219</v>
      </c>
    </row>
    <row r="387" spans="1:16" x14ac:dyDescent="0.3">
      <c r="A387" s="6">
        <v>386</v>
      </c>
      <c r="B387" s="37">
        <v>46009</v>
      </c>
      <c r="C387" s="2" t="str">
        <f t="shared" si="21"/>
        <v>Dec</v>
      </c>
      <c r="D387" s="6">
        <f t="shared" si="22"/>
        <v>2025</v>
      </c>
      <c r="E387" s="6">
        <v>29</v>
      </c>
      <c r="F387" s="4" t="s">
        <v>124</v>
      </c>
      <c r="G387" s="6">
        <v>56</v>
      </c>
      <c r="H387" t="s">
        <v>59</v>
      </c>
      <c r="I387" t="s">
        <v>33</v>
      </c>
      <c r="J387">
        <v>21</v>
      </c>
      <c r="K387" t="s">
        <v>66</v>
      </c>
      <c r="L387" t="s">
        <v>19</v>
      </c>
      <c r="M387" s="8">
        <v>842.75</v>
      </c>
      <c r="N387" s="6">
        <v>3</v>
      </c>
      <c r="O387" s="8">
        <f t="shared" si="23"/>
        <v>2528.25</v>
      </c>
      <c r="P387" t="s">
        <v>222</v>
      </c>
    </row>
    <row r="388" spans="1:16" x14ac:dyDescent="0.3">
      <c r="A388" s="6">
        <v>387</v>
      </c>
      <c r="B388" s="37">
        <v>45956</v>
      </c>
      <c r="C388" s="2" t="str">
        <f t="shared" si="21"/>
        <v>Oct</v>
      </c>
      <c r="D388" s="6">
        <f t="shared" si="22"/>
        <v>2025</v>
      </c>
      <c r="E388" s="6">
        <v>98</v>
      </c>
      <c r="F388" s="4" t="s">
        <v>175</v>
      </c>
      <c r="G388" s="6">
        <v>48</v>
      </c>
      <c r="H388" t="s">
        <v>59</v>
      </c>
      <c r="I388" t="s">
        <v>33</v>
      </c>
      <c r="J388">
        <v>1</v>
      </c>
      <c r="K388" t="s">
        <v>69</v>
      </c>
      <c r="L388" t="s">
        <v>29</v>
      </c>
      <c r="M388" s="8">
        <v>83.63</v>
      </c>
      <c r="N388" s="6">
        <v>4</v>
      </c>
      <c r="O388" s="8">
        <f t="shared" si="23"/>
        <v>334.52</v>
      </c>
      <c r="P388" t="s">
        <v>222</v>
      </c>
    </row>
    <row r="389" spans="1:16" x14ac:dyDescent="0.3">
      <c r="A389" s="6">
        <v>388</v>
      </c>
      <c r="B389" s="37">
        <v>45411</v>
      </c>
      <c r="C389" s="2" t="str">
        <f t="shared" si="21"/>
        <v>Apr</v>
      </c>
      <c r="D389" s="6">
        <f t="shared" si="22"/>
        <v>2024</v>
      </c>
      <c r="E389" s="6">
        <v>109</v>
      </c>
      <c r="F389" s="4" t="s">
        <v>144</v>
      </c>
      <c r="G389" s="6">
        <v>60</v>
      </c>
      <c r="H389" t="s">
        <v>16</v>
      </c>
      <c r="I389" t="s">
        <v>17</v>
      </c>
      <c r="J389">
        <v>22</v>
      </c>
      <c r="K389" t="s">
        <v>85</v>
      </c>
      <c r="L389" t="s">
        <v>19</v>
      </c>
      <c r="M389" s="8">
        <v>1377.44</v>
      </c>
      <c r="N389" s="6">
        <v>2</v>
      </c>
      <c r="O389" s="8">
        <f t="shared" si="23"/>
        <v>2754.88</v>
      </c>
      <c r="P389" t="s">
        <v>220</v>
      </c>
    </row>
    <row r="390" spans="1:16" x14ac:dyDescent="0.3">
      <c r="A390" s="6">
        <v>389</v>
      </c>
      <c r="B390" s="37">
        <v>45338</v>
      </c>
      <c r="C390" s="2" t="str">
        <f t="shared" si="21"/>
        <v>Feb</v>
      </c>
      <c r="D390" s="6">
        <f t="shared" si="22"/>
        <v>2024</v>
      </c>
      <c r="E390" s="6">
        <v>119</v>
      </c>
      <c r="F390" s="4" t="s">
        <v>110</v>
      </c>
      <c r="G390" s="6">
        <v>61</v>
      </c>
      <c r="H390" t="s">
        <v>16</v>
      </c>
      <c r="I390" t="s">
        <v>17</v>
      </c>
      <c r="J390">
        <v>5</v>
      </c>
      <c r="K390" t="s">
        <v>82</v>
      </c>
      <c r="L390" t="s">
        <v>29</v>
      </c>
      <c r="M390" s="8">
        <v>691.29</v>
      </c>
      <c r="N390" s="6">
        <v>1</v>
      </c>
      <c r="O390" s="8">
        <f t="shared" si="23"/>
        <v>691.29</v>
      </c>
      <c r="P390" t="s">
        <v>219</v>
      </c>
    </row>
    <row r="391" spans="1:16" x14ac:dyDescent="0.3">
      <c r="A391" s="6">
        <v>390</v>
      </c>
      <c r="B391" s="37">
        <v>45603</v>
      </c>
      <c r="C391" s="2" t="str">
        <f t="shared" si="21"/>
        <v>Nov</v>
      </c>
      <c r="D391" s="6">
        <f t="shared" si="22"/>
        <v>2024</v>
      </c>
      <c r="E391" s="6">
        <v>110</v>
      </c>
      <c r="F391" s="4" t="s">
        <v>148</v>
      </c>
      <c r="G391" s="6">
        <v>50</v>
      </c>
      <c r="H391" t="s">
        <v>59</v>
      </c>
      <c r="I391" t="s">
        <v>33</v>
      </c>
      <c r="J391">
        <v>1</v>
      </c>
      <c r="K391" t="s">
        <v>69</v>
      </c>
      <c r="L391" t="s">
        <v>29</v>
      </c>
      <c r="M391" s="8">
        <v>83.63</v>
      </c>
      <c r="N391" s="6">
        <v>4</v>
      </c>
      <c r="O391" s="8">
        <f t="shared" si="23"/>
        <v>334.52</v>
      </c>
      <c r="P391" t="s">
        <v>221</v>
      </c>
    </row>
    <row r="392" spans="1:16" x14ac:dyDescent="0.3">
      <c r="A392" s="6">
        <v>391</v>
      </c>
      <c r="B392" s="37">
        <v>45410</v>
      </c>
      <c r="C392" s="2" t="str">
        <f t="shared" si="21"/>
        <v>Apr</v>
      </c>
      <c r="D392" s="6">
        <f t="shared" si="22"/>
        <v>2024</v>
      </c>
      <c r="E392" s="6">
        <v>71</v>
      </c>
      <c r="F392" s="4" t="s">
        <v>138</v>
      </c>
      <c r="G392" s="6">
        <v>31</v>
      </c>
      <c r="H392" t="s">
        <v>16</v>
      </c>
      <c r="I392" t="s">
        <v>17</v>
      </c>
      <c r="J392">
        <v>11</v>
      </c>
      <c r="K392" t="s">
        <v>55</v>
      </c>
      <c r="L392" t="s">
        <v>38</v>
      </c>
      <c r="M392" s="8">
        <v>234.14</v>
      </c>
      <c r="N392" s="6">
        <v>1</v>
      </c>
      <c r="O392" s="8">
        <f t="shared" si="23"/>
        <v>234.14</v>
      </c>
      <c r="P392" t="s">
        <v>221</v>
      </c>
    </row>
    <row r="393" spans="1:16" x14ac:dyDescent="0.3">
      <c r="A393" s="6">
        <v>392</v>
      </c>
      <c r="B393" s="37">
        <v>45532</v>
      </c>
      <c r="C393" s="2" t="str">
        <f t="shared" si="21"/>
        <v>Aug</v>
      </c>
      <c r="D393" s="6">
        <f t="shared" si="22"/>
        <v>2024</v>
      </c>
      <c r="E393" s="6">
        <v>94</v>
      </c>
      <c r="F393" s="4" t="s">
        <v>172</v>
      </c>
      <c r="G393" s="6">
        <v>69</v>
      </c>
      <c r="H393" t="s">
        <v>49</v>
      </c>
      <c r="I393" t="s">
        <v>50</v>
      </c>
      <c r="J393">
        <v>28</v>
      </c>
      <c r="K393" t="s">
        <v>77</v>
      </c>
      <c r="L393" t="s">
        <v>25</v>
      </c>
      <c r="M393" s="8">
        <v>486.19</v>
      </c>
      <c r="N393" s="6">
        <v>5</v>
      </c>
      <c r="O393" s="8">
        <f t="shared" si="23"/>
        <v>2430.9499999999998</v>
      </c>
      <c r="P393" t="s">
        <v>219</v>
      </c>
    </row>
    <row r="394" spans="1:16" x14ac:dyDescent="0.3">
      <c r="A394" s="6">
        <v>393</v>
      </c>
      <c r="B394" s="37">
        <v>45430</v>
      </c>
      <c r="C394" s="2" t="str">
        <f t="shared" si="21"/>
        <v>May</v>
      </c>
      <c r="D394" s="6">
        <f t="shared" si="22"/>
        <v>2024</v>
      </c>
      <c r="E394" s="6">
        <v>29</v>
      </c>
      <c r="F394" s="4" t="s">
        <v>124</v>
      </c>
      <c r="G394" s="6">
        <v>56</v>
      </c>
      <c r="H394" t="s">
        <v>59</v>
      </c>
      <c r="I394" t="s">
        <v>33</v>
      </c>
      <c r="J394">
        <v>30</v>
      </c>
      <c r="K394" t="s">
        <v>73</v>
      </c>
      <c r="L394" t="s">
        <v>25</v>
      </c>
      <c r="M394" s="8">
        <v>672.22</v>
      </c>
      <c r="N394" s="6">
        <v>4</v>
      </c>
      <c r="O394" s="8">
        <f t="shared" si="23"/>
        <v>2688.88</v>
      </c>
      <c r="P394" t="s">
        <v>221</v>
      </c>
    </row>
    <row r="395" spans="1:16" x14ac:dyDescent="0.3">
      <c r="A395" s="6">
        <v>394</v>
      </c>
      <c r="B395" s="37">
        <v>45756</v>
      </c>
      <c r="C395" s="2" t="str">
        <f t="shared" si="21"/>
        <v>Apr</v>
      </c>
      <c r="D395" s="6">
        <f t="shared" si="22"/>
        <v>2025</v>
      </c>
      <c r="E395" s="6">
        <v>27</v>
      </c>
      <c r="F395" s="4" t="s">
        <v>122</v>
      </c>
      <c r="G395" s="6">
        <v>25</v>
      </c>
      <c r="H395" t="s">
        <v>52</v>
      </c>
      <c r="I395" t="s">
        <v>53</v>
      </c>
      <c r="J395">
        <v>2</v>
      </c>
      <c r="K395" t="s">
        <v>34</v>
      </c>
      <c r="L395" t="s">
        <v>29</v>
      </c>
      <c r="M395" s="8">
        <v>1476.14</v>
      </c>
      <c r="N395" s="6">
        <v>3</v>
      </c>
      <c r="O395" s="8">
        <f t="shared" si="23"/>
        <v>4428.42</v>
      </c>
      <c r="P395" t="s">
        <v>220</v>
      </c>
    </row>
    <row r="396" spans="1:16" x14ac:dyDescent="0.3">
      <c r="A396" s="6">
        <v>395</v>
      </c>
      <c r="B396" s="37">
        <v>45978</v>
      </c>
      <c r="C396" s="2" t="str">
        <f t="shared" si="21"/>
        <v>Nov</v>
      </c>
      <c r="D396" s="6">
        <f t="shared" si="22"/>
        <v>2025</v>
      </c>
      <c r="E396" s="6">
        <v>51</v>
      </c>
      <c r="F396" s="4" t="s">
        <v>153</v>
      </c>
      <c r="G396" s="6">
        <v>69</v>
      </c>
      <c r="H396" t="s">
        <v>52</v>
      </c>
      <c r="I396" t="s">
        <v>53</v>
      </c>
      <c r="J396">
        <v>30</v>
      </c>
      <c r="K396" t="s">
        <v>73</v>
      </c>
      <c r="L396" t="s">
        <v>25</v>
      </c>
      <c r="M396" s="8">
        <v>672.22</v>
      </c>
      <c r="N396" s="6">
        <v>6</v>
      </c>
      <c r="O396" s="8">
        <f t="shared" si="23"/>
        <v>4033.32</v>
      </c>
      <c r="P396" t="s">
        <v>221</v>
      </c>
    </row>
    <row r="397" spans="1:16" x14ac:dyDescent="0.3">
      <c r="A397" s="6">
        <v>396</v>
      </c>
      <c r="B397" s="37">
        <v>46005</v>
      </c>
      <c r="C397" s="2" t="str">
        <f t="shared" si="21"/>
        <v>Dec</v>
      </c>
      <c r="D397" s="6">
        <f t="shared" si="22"/>
        <v>2025</v>
      </c>
      <c r="E397" s="6">
        <v>30</v>
      </c>
      <c r="F397" s="4" t="s">
        <v>135</v>
      </c>
      <c r="G397" s="6">
        <v>61</v>
      </c>
      <c r="H397" t="s">
        <v>22</v>
      </c>
      <c r="I397" t="s">
        <v>23</v>
      </c>
      <c r="J397">
        <v>14</v>
      </c>
      <c r="K397" t="s">
        <v>81</v>
      </c>
      <c r="L397" t="s">
        <v>38</v>
      </c>
      <c r="M397" s="8">
        <v>1292.75</v>
      </c>
      <c r="N397" s="6">
        <v>5</v>
      </c>
      <c r="O397" s="8">
        <f t="shared" si="23"/>
        <v>6463.75</v>
      </c>
      <c r="P397" t="s">
        <v>219</v>
      </c>
    </row>
    <row r="398" spans="1:16" x14ac:dyDescent="0.3">
      <c r="A398" s="6">
        <v>397</v>
      </c>
      <c r="B398" s="37">
        <v>45721</v>
      </c>
      <c r="C398" s="2" t="str">
        <f t="shared" si="21"/>
        <v>Mar</v>
      </c>
      <c r="D398" s="6">
        <f t="shared" si="22"/>
        <v>2025</v>
      </c>
      <c r="E398" s="6">
        <v>80</v>
      </c>
      <c r="F398" s="4" t="s">
        <v>125</v>
      </c>
      <c r="G398" s="6">
        <v>24</v>
      </c>
      <c r="H398" t="s">
        <v>52</v>
      </c>
      <c r="I398" t="s">
        <v>53</v>
      </c>
      <c r="J398">
        <v>28</v>
      </c>
      <c r="K398" t="s">
        <v>77</v>
      </c>
      <c r="L398" t="s">
        <v>25</v>
      </c>
      <c r="M398" s="8">
        <v>486.19</v>
      </c>
      <c r="N398" s="6">
        <v>5</v>
      </c>
      <c r="O398" s="8">
        <f t="shared" si="23"/>
        <v>2430.9499999999998</v>
      </c>
      <c r="P398" t="s">
        <v>222</v>
      </c>
    </row>
    <row r="399" spans="1:16" x14ac:dyDescent="0.3">
      <c r="A399" s="6">
        <v>398</v>
      </c>
      <c r="B399" s="37">
        <v>45450</v>
      </c>
      <c r="C399" s="2" t="str">
        <f t="shared" si="21"/>
        <v>Jun</v>
      </c>
      <c r="D399" s="6">
        <f t="shared" si="22"/>
        <v>2024</v>
      </c>
      <c r="E399" s="6">
        <v>56</v>
      </c>
      <c r="F399" s="4" t="s">
        <v>129</v>
      </c>
      <c r="G399" s="6">
        <v>30</v>
      </c>
      <c r="H399" t="s">
        <v>59</v>
      </c>
      <c r="I399" t="s">
        <v>33</v>
      </c>
      <c r="J399">
        <v>26</v>
      </c>
      <c r="K399" t="s">
        <v>54</v>
      </c>
      <c r="L399" t="s">
        <v>25</v>
      </c>
      <c r="M399" s="8">
        <v>803.73</v>
      </c>
      <c r="N399" s="6">
        <v>4</v>
      </c>
      <c r="O399" s="8">
        <f t="shared" si="23"/>
        <v>3214.92</v>
      </c>
      <c r="P399" t="s">
        <v>219</v>
      </c>
    </row>
    <row r="400" spans="1:16" x14ac:dyDescent="0.3">
      <c r="A400" s="6">
        <v>399</v>
      </c>
      <c r="B400" s="37">
        <v>45962</v>
      </c>
      <c r="C400" s="2" t="str">
        <f t="shared" si="21"/>
        <v>Nov</v>
      </c>
      <c r="D400" s="6">
        <f t="shared" si="22"/>
        <v>2025</v>
      </c>
      <c r="E400" s="6">
        <v>47</v>
      </c>
      <c r="F400" s="4" t="s">
        <v>165</v>
      </c>
      <c r="G400" s="6">
        <v>18</v>
      </c>
      <c r="H400" t="s">
        <v>49</v>
      </c>
      <c r="I400" t="s">
        <v>50</v>
      </c>
      <c r="J400">
        <v>19</v>
      </c>
      <c r="K400" t="s">
        <v>84</v>
      </c>
      <c r="L400" t="s">
        <v>43</v>
      </c>
      <c r="M400" s="8">
        <v>1048.43</v>
      </c>
      <c r="N400" s="6">
        <v>1</v>
      </c>
      <c r="O400" s="8">
        <f t="shared" si="23"/>
        <v>1048.43</v>
      </c>
      <c r="P400" t="s">
        <v>221</v>
      </c>
    </row>
    <row r="401" spans="1:16" x14ac:dyDescent="0.3">
      <c r="A401" s="6">
        <v>400</v>
      </c>
      <c r="B401" s="37">
        <v>45793</v>
      </c>
      <c r="C401" s="2" t="str">
        <f t="shared" si="21"/>
        <v>May</v>
      </c>
      <c r="D401" s="6">
        <f t="shared" si="22"/>
        <v>2025</v>
      </c>
      <c r="E401" s="6">
        <v>26</v>
      </c>
      <c r="F401" s="4" t="s">
        <v>168</v>
      </c>
      <c r="G401" s="6">
        <v>26</v>
      </c>
      <c r="H401" t="s">
        <v>32</v>
      </c>
      <c r="I401" t="s">
        <v>33</v>
      </c>
      <c r="J401">
        <v>29</v>
      </c>
      <c r="K401" t="s">
        <v>65</v>
      </c>
      <c r="L401" t="s">
        <v>25</v>
      </c>
      <c r="M401" s="8">
        <v>1136.55</v>
      </c>
      <c r="N401" s="6">
        <v>5</v>
      </c>
      <c r="O401" s="8">
        <f t="shared" si="23"/>
        <v>5682.75</v>
      </c>
      <c r="P401" t="s">
        <v>219</v>
      </c>
    </row>
    <row r="402" spans="1:16" x14ac:dyDescent="0.3">
      <c r="A402" s="6">
        <v>401</v>
      </c>
      <c r="B402" s="37">
        <v>45709</v>
      </c>
      <c r="C402" s="2" t="str">
        <f t="shared" si="21"/>
        <v>Feb</v>
      </c>
      <c r="D402" s="6">
        <f t="shared" si="22"/>
        <v>2025</v>
      </c>
      <c r="E402" s="6">
        <v>17</v>
      </c>
      <c r="F402" s="4" t="s">
        <v>168</v>
      </c>
      <c r="G402" s="6">
        <v>60</v>
      </c>
      <c r="H402" t="s">
        <v>16</v>
      </c>
      <c r="I402" t="s">
        <v>17</v>
      </c>
      <c r="J402">
        <v>25</v>
      </c>
      <c r="K402" t="s">
        <v>61</v>
      </c>
      <c r="L402" t="s">
        <v>19</v>
      </c>
      <c r="M402" s="8">
        <v>705</v>
      </c>
      <c r="N402" s="6">
        <v>3</v>
      </c>
      <c r="O402" s="8">
        <f t="shared" si="23"/>
        <v>2115</v>
      </c>
      <c r="P402" t="s">
        <v>221</v>
      </c>
    </row>
    <row r="403" spans="1:16" x14ac:dyDescent="0.3">
      <c r="A403" s="6">
        <v>402</v>
      </c>
      <c r="B403" s="37">
        <v>45325</v>
      </c>
      <c r="C403" s="2" t="str">
        <f t="shared" si="21"/>
        <v>Feb</v>
      </c>
      <c r="D403" s="6">
        <f t="shared" si="22"/>
        <v>2024</v>
      </c>
      <c r="E403" s="6">
        <v>1</v>
      </c>
      <c r="F403" s="4" t="s">
        <v>140</v>
      </c>
      <c r="G403" s="6">
        <v>35</v>
      </c>
      <c r="H403" t="s">
        <v>59</v>
      </c>
      <c r="I403" t="s">
        <v>33</v>
      </c>
      <c r="J403">
        <v>28</v>
      </c>
      <c r="K403" t="s">
        <v>77</v>
      </c>
      <c r="L403" t="s">
        <v>25</v>
      </c>
      <c r="M403" s="8">
        <v>486.19</v>
      </c>
      <c r="N403" s="6">
        <v>6</v>
      </c>
      <c r="O403" s="8">
        <f t="shared" si="23"/>
        <v>2917.14</v>
      </c>
      <c r="P403" t="s">
        <v>222</v>
      </c>
    </row>
    <row r="404" spans="1:16" x14ac:dyDescent="0.3">
      <c r="A404" s="6">
        <v>403</v>
      </c>
      <c r="B404" s="37">
        <v>45671</v>
      </c>
      <c r="C404" s="2" t="str">
        <f t="shared" si="21"/>
        <v>Jan</v>
      </c>
      <c r="D404" s="6">
        <f t="shared" si="22"/>
        <v>2025</v>
      </c>
      <c r="E404" s="6">
        <v>12</v>
      </c>
      <c r="F404" s="4" t="s">
        <v>119</v>
      </c>
      <c r="G404" s="6">
        <v>36</v>
      </c>
      <c r="H404" t="s">
        <v>32</v>
      </c>
      <c r="I404" t="s">
        <v>33</v>
      </c>
      <c r="J404">
        <v>12</v>
      </c>
      <c r="K404" t="s">
        <v>37</v>
      </c>
      <c r="L404" t="s">
        <v>38</v>
      </c>
      <c r="M404" s="8">
        <v>1036.1199999999999</v>
      </c>
      <c r="N404" s="6">
        <v>2</v>
      </c>
      <c r="O404" s="8">
        <f t="shared" si="23"/>
        <v>2072.2399999999998</v>
      </c>
      <c r="P404" t="s">
        <v>220</v>
      </c>
    </row>
    <row r="405" spans="1:16" x14ac:dyDescent="0.3">
      <c r="A405" s="6">
        <v>404</v>
      </c>
      <c r="B405" s="37">
        <v>45746</v>
      </c>
      <c r="C405" s="2" t="str">
        <f t="shared" si="21"/>
        <v>Mar</v>
      </c>
      <c r="D405" s="6">
        <f t="shared" si="22"/>
        <v>2025</v>
      </c>
      <c r="E405" s="6">
        <v>94</v>
      </c>
      <c r="F405" s="4" t="s">
        <v>172</v>
      </c>
      <c r="G405" s="6">
        <v>69</v>
      </c>
      <c r="H405" t="s">
        <v>49</v>
      </c>
      <c r="I405" t="s">
        <v>50</v>
      </c>
      <c r="J405">
        <v>23</v>
      </c>
      <c r="K405" t="s">
        <v>18</v>
      </c>
      <c r="L405" t="s">
        <v>19</v>
      </c>
      <c r="M405" s="8">
        <v>195.22</v>
      </c>
      <c r="N405" s="6">
        <v>4</v>
      </c>
      <c r="O405" s="8">
        <f t="shared" si="23"/>
        <v>780.88</v>
      </c>
      <c r="P405" t="s">
        <v>219</v>
      </c>
    </row>
    <row r="406" spans="1:16" x14ac:dyDescent="0.3">
      <c r="A406" s="6">
        <v>405</v>
      </c>
      <c r="B406" s="37">
        <v>45533</v>
      </c>
      <c r="C406" s="2" t="str">
        <f t="shared" si="21"/>
        <v>Aug</v>
      </c>
      <c r="D406" s="6">
        <f t="shared" si="22"/>
        <v>2024</v>
      </c>
      <c r="E406" s="6">
        <v>120</v>
      </c>
      <c r="F406" s="4" t="s">
        <v>174</v>
      </c>
      <c r="G406" s="6">
        <v>27</v>
      </c>
      <c r="H406" t="s">
        <v>49</v>
      </c>
      <c r="I406" t="s">
        <v>50</v>
      </c>
      <c r="J406">
        <v>15</v>
      </c>
      <c r="K406" t="s">
        <v>67</v>
      </c>
      <c r="L406" t="s">
        <v>38</v>
      </c>
      <c r="M406" s="8">
        <v>1329.92</v>
      </c>
      <c r="N406" s="6">
        <v>3</v>
      </c>
      <c r="O406" s="8">
        <f t="shared" si="23"/>
        <v>3989.76</v>
      </c>
      <c r="P406" t="s">
        <v>222</v>
      </c>
    </row>
    <row r="407" spans="1:16" x14ac:dyDescent="0.3">
      <c r="A407" s="6">
        <v>406</v>
      </c>
      <c r="B407" s="37">
        <v>45393</v>
      </c>
      <c r="C407" s="2" t="str">
        <f t="shared" si="21"/>
        <v>Apr</v>
      </c>
      <c r="D407" s="6">
        <f t="shared" si="22"/>
        <v>2024</v>
      </c>
      <c r="E407" s="6">
        <v>25</v>
      </c>
      <c r="F407" s="4" t="s">
        <v>137</v>
      </c>
      <c r="G407" s="6">
        <v>45</v>
      </c>
      <c r="H407" t="s">
        <v>22</v>
      </c>
      <c r="I407" t="s">
        <v>23</v>
      </c>
      <c r="J407">
        <v>25</v>
      </c>
      <c r="K407" t="s">
        <v>61</v>
      </c>
      <c r="L407" t="s">
        <v>19</v>
      </c>
      <c r="M407" s="8">
        <v>705</v>
      </c>
      <c r="N407" s="6">
        <v>6</v>
      </c>
      <c r="O407" s="8">
        <f t="shared" si="23"/>
        <v>4230</v>
      </c>
      <c r="P407" t="s">
        <v>222</v>
      </c>
    </row>
    <row r="408" spans="1:16" x14ac:dyDescent="0.3">
      <c r="A408" s="6">
        <v>407</v>
      </c>
      <c r="B408" s="37">
        <v>45668</v>
      </c>
      <c r="C408" s="2" t="str">
        <f t="shared" si="21"/>
        <v>Jan</v>
      </c>
      <c r="D408" s="6">
        <f t="shared" si="22"/>
        <v>2025</v>
      </c>
      <c r="E408" s="6">
        <v>75</v>
      </c>
      <c r="F408" s="4" t="s">
        <v>119</v>
      </c>
      <c r="G408" s="6">
        <v>31</v>
      </c>
      <c r="H408" t="s">
        <v>59</v>
      </c>
      <c r="I408" t="s">
        <v>33</v>
      </c>
      <c r="J408">
        <v>24</v>
      </c>
      <c r="K408" t="s">
        <v>45</v>
      </c>
      <c r="L408" t="s">
        <v>19</v>
      </c>
      <c r="M408" s="8">
        <v>213.01</v>
      </c>
      <c r="N408" s="6">
        <v>5</v>
      </c>
      <c r="O408" s="8">
        <f t="shared" si="23"/>
        <v>1065.05</v>
      </c>
      <c r="P408" t="s">
        <v>221</v>
      </c>
    </row>
    <row r="409" spans="1:16" x14ac:dyDescent="0.3">
      <c r="A409" s="6">
        <v>408</v>
      </c>
      <c r="B409" s="37">
        <v>45952</v>
      </c>
      <c r="C409" s="2" t="str">
        <f t="shared" si="21"/>
        <v>Oct</v>
      </c>
      <c r="D409" s="6">
        <f t="shared" si="22"/>
        <v>2025</v>
      </c>
      <c r="E409" s="6">
        <v>64</v>
      </c>
      <c r="F409" s="4" t="s">
        <v>186</v>
      </c>
      <c r="G409" s="6">
        <v>36</v>
      </c>
      <c r="H409" t="s">
        <v>52</v>
      </c>
      <c r="I409" t="s">
        <v>53</v>
      </c>
      <c r="J409">
        <v>11</v>
      </c>
      <c r="K409" t="s">
        <v>55</v>
      </c>
      <c r="L409" t="s">
        <v>38</v>
      </c>
      <c r="M409" s="8">
        <v>234.14</v>
      </c>
      <c r="N409" s="6">
        <v>3</v>
      </c>
      <c r="O409" s="8">
        <f t="shared" si="23"/>
        <v>702.42</v>
      </c>
      <c r="P409" t="s">
        <v>221</v>
      </c>
    </row>
    <row r="410" spans="1:16" x14ac:dyDescent="0.3">
      <c r="A410" s="6">
        <v>409</v>
      </c>
      <c r="B410" s="37">
        <v>45354</v>
      </c>
      <c r="C410" s="2" t="str">
        <f t="shared" si="21"/>
        <v>Mar</v>
      </c>
      <c r="D410" s="6">
        <f t="shared" si="22"/>
        <v>2024</v>
      </c>
      <c r="E410" s="6">
        <v>13</v>
      </c>
      <c r="F410" s="4" t="s">
        <v>165</v>
      </c>
      <c r="G410" s="6">
        <v>63</v>
      </c>
      <c r="H410" t="s">
        <v>16</v>
      </c>
      <c r="I410" t="s">
        <v>17</v>
      </c>
      <c r="J410">
        <v>10</v>
      </c>
      <c r="K410" t="s">
        <v>70</v>
      </c>
      <c r="L410" t="s">
        <v>71</v>
      </c>
      <c r="M410" s="8">
        <v>608.48</v>
      </c>
      <c r="N410" s="6">
        <v>4</v>
      </c>
      <c r="O410" s="8">
        <f t="shared" si="23"/>
        <v>2433.92</v>
      </c>
      <c r="P410" t="s">
        <v>221</v>
      </c>
    </row>
    <row r="411" spans="1:16" x14ac:dyDescent="0.3">
      <c r="A411" s="6">
        <v>410</v>
      </c>
      <c r="B411" s="37">
        <v>45574</v>
      </c>
      <c r="C411" s="2" t="str">
        <f t="shared" si="21"/>
        <v>Oct</v>
      </c>
      <c r="D411" s="6">
        <f t="shared" si="22"/>
        <v>2024</v>
      </c>
      <c r="E411" s="6">
        <v>54</v>
      </c>
      <c r="F411" s="4" t="s">
        <v>117</v>
      </c>
      <c r="G411" s="6">
        <v>59</v>
      </c>
      <c r="H411" t="s">
        <v>32</v>
      </c>
      <c r="I411" t="s">
        <v>33</v>
      </c>
      <c r="J411">
        <v>30</v>
      </c>
      <c r="K411" t="s">
        <v>73</v>
      </c>
      <c r="L411" t="s">
        <v>25</v>
      </c>
      <c r="M411" s="8">
        <v>672.22</v>
      </c>
      <c r="N411" s="6">
        <v>2</v>
      </c>
      <c r="O411" s="8">
        <f t="shared" si="23"/>
        <v>1344.44</v>
      </c>
      <c r="P411" t="s">
        <v>221</v>
      </c>
    </row>
    <row r="412" spans="1:16" x14ac:dyDescent="0.3">
      <c r="A412" s="6">
        <v>411</v>
      </c>
      <c r="B412" s="37">
        <v>45417</v>
      </c>
      <c r="C412" s="2" t="str">
        <f t="shared" si="21"/>
        <v>May</v>
      </c>
      <c r="D412" s="6">
        <f t="shared" si="22"/>
        <v>2024</v>
      </c>
      <c r="E412" s="6">
        <v>81</v>
      </c>
      <c r="F412" s="4" t="s">
        <v>147</v>
      </c>
      <c r="G412" s="6">
        <v>56</v>
      </c>
      <c r="H412" t="s">
        <v>52</v>
      </c>
      <c r="I412" t="s">
        <v>53</v>
      </c>
      <c r="J412">
        <v>6</v>
      </c>
      <c r="K412" t="s">
        <v>86</v>
      </c>
      <c r="L412" t="s">
        <v>71</v>
      </c>
      <c r="M412" s="8">
        <v>1330.91</v>
      </c>
      <c r="N412" s="6">
        <v>4</v>
      </c>
      <c r="O412" s="8">
        <f t="shared" si="23"/>
        <v>5323.64</v>
      </c>
      <c r="P412" t="s">
        <v>219</v>
      </c>
    </row>
    <row r="413" spans="1:16" x14ac:dyDescent="0.3">
      <c r="A413" s="6">
        <v>412</v>
      </c>
      <c r="B413" s="37">
        <v>45385</v>
      </c>
      <c r="C413" s="2" t="str">
        <f t="shared" si="21"/>
        <v>Apr</v>
      </c>
      <c r="D413" s="6">
        <f t="shared" si="22"/>
        <v>2024</v>
      </c>
      <c r="E413" s="6">
        <v>14</v>
      </c>
      <c r="F413" s="4" t="s">
        <v>108</v>
      </c>
      <c r="G413" s="6">
        <v>67</v>
      </c>
      <c r="H413" t="s">
        <v>32</v>
      </c>
      <c r="I413" t="s">
        <v>33</v>
      </c>
      <c r="J413">
        <v>9</v>
      </c>
      <c r="K413" t="s">
        <v>76</v>
      </c>
      <c r="L413" t="s">
        <v>71</v>
      </c>
      <c r="M413" s="8">
        <v>585.21</v>
      </c>
      <c r="N413" s="6">
        <v>6</v>
      </c>
      <c r="O413" s="8">
        <f t="shared" si="23"/>
        <v>3511.26</v>
      </c>
      <c r="P413" t="s">
        <v>219</v>
      </c>
    </row>
    <row r="414" spans="1:16" x14ac:dyDescent="0.3">
      <c r="A414" s="6">
        <v>413</v>
      </c>
      <c r="B414" s="37">
        <v>45509</v>
      </c>
      <c r="C414" s="2" t="str">
        <f t="shared" si="21"/>
        <v>Aug</v>
      </c>
      <c r="D414" s="6">
        <f t="shared" si="22"/>
        <v>2024</v>
      </c>
      <c r="E414" s="6">
        <v>91</v>
      </c>
      <c r="F414" s="4" t="s">
        <v>120</v>
      </c>
      <c r="G414" s="6">
        <v>40</v>
      </c>
      <c r="H414" t="s">
        <v>16</v>
      </c>
      <c r="I414" t="s">
        <v>17</v>
      </c>
      <c r="J414">
        <v>6</v>
      </c>
      <c r="K414" t="s">
        <v>86</v>
      </c>
      <c r="L414" t="s">
        <v>71</v>
      </c>
      <c r="M414" s="8">
        <v>1330.91</v>
      </c>
      <c r="N414" s="6">
        <v>6</v>
      </c>
      <c r="O414" s="8">
        <f t="shared" si="23"/>
        <v>7985.4600000000009</v>
      </c>
      <c r="P414" t="s">
        <v>219</v>
      </c>
    </row>
    <row r="415" spans="1:16" x14ac:dyDescent="0.3">
      <c r="A415" s="6">
        <v>414</v>
      </c>
      <c r="B415" s="37">
        <v>45946</v>
      </c>
      <c r="C415" s="2" t="str">
        <f t="shared" si="21"/>
        <v>Oct</v>
      </c>
      <c r="D415" s="6">
        <f t="shared" si="22"/>
        <v>2025</v>
      </c>
      <c r="E415" s="6">
        <v>89</v>
      </c>
      <c r="F415" s="4" t="s">
        <v>135</v>
      </c>
      <c r="G415" s="6">
        <v>41</v>
      </c>
      <c r="H415" t="s">
        <v>52</v>
      </c>
      <c r="I415" t="s">
        <v>53</v>
      </c>
      <c r="J415">
        <v>19</v>
      </c>
      <c r="K415" t="s">
        <v>84</v>
      </c>
      <c r="L415" t="s">
        <v>43</v>
      </c>
      <c r="M415" s="8">
        <v>1048.43</v>
      </c>
      <c r="N415" s="6">
        <v>5</v>
      </c>
      <c r="O415" s="8">
        <f t="shared" si="23"/>
        <v>5242.1500000000005</v>
      </c>
      <c r="P415" t="s">
        <v>222</v>
      </c>
    </row>
    <row r="416" spans="1:16" x14ac:dyDescent="0.3">
      <c r="A416" s="6">
        <v>415</v>
      </c>
      <c r="B416" s="37">
        <v>45313</v>
      </c>
      <c r="C416" s="2" t="str">
        <f t="shared" si="21"/>
        <v>Jan</v>
      </c>
      <c r="D416" s="6">
        <f t="shared" si="22"/>
        <v>2024</v>
      </c>
      <c r="E416" s="6">
        <v>104</v>
      </c>
      <c r="F416" s="4" t="s">
        <v>107</v>
      </c>
      <c r="G416" s="6">
        <v>56</v>
      </c>
      <c r="H416" t="s">
        <v>22</v>
      </c>
      <c r="I416" t="s">
        <v>23</v>
      </c>
      <c r="J416">
        <v>22</v>
      </c>
      <c r="K416" t="s">
        <v>85</v>
      </c>
      <c r="L416" t="s">
        <v>19</v>
      </c>
      <c r="M416" s="8">
        <v>1377.44</v>
      </c>
      <c r="N416" s="6">
        <v>1</v>
      </c>
      <c r="O416" s="8">
        <f t="shared" si="23"/>
        <v>1377.44</v>
      </c>
      <c r="P416" t="s">
        <v>220</v>
      </c>
    </row>
    <row r="417" spans="1:16" x14ac:dyDescent="0.3">
      <c r="A417" s="6">
        <v>416</v>
      </c>
      <c r="B417" s="37">
        <v>45633</v>
      </c>
      <c r="C417" s="2" t="str">
        <f t="shared" si="21"/>
        <v>Dec</v>
      </c>
      <c r="D417" s="6">
        <f t="shared" si="22"/>
        <v>2024</v>
      </c>
      <c r="E417" s="6">
        <v>117</v>
      </c>
      <c r="F417" s="4" t="s">
        <v>145</v>
      </c>
      <c r="G417" s="6">
        <v>68</v>
      </c>
      <c r="H417" t="s">
        <v>49</v>
      </c>
      <c r="I417" t="s">
        <v>50</v>
      </c>
      <c r="J417">
        <v>2</v>
      </c>
      <c r="K417" t="s">
        <v>34</v>
      </c>
      <c r="L417" t="s">
        <v>29</v>
      </c>
      <c r="M417" s="8">
        <v>1476.14</v>
      </c>
      <c r="N417" s="6">
        <v>2</v>
      </c>
      <c r="O417" s="8">
        <f t="shared" si="23"/>
        <v>2952.28</v>
      </c>
      <c r="P417" t="s">
        <v>220</v>
      </c>
    </row>
    <row r="418" spans="1:16" x14ac:dyDescent="0.3">
      <c r="A418" s="6">
        <v>417</v>
      </c>
      <c r="B418" s="37">
        <v>45420</v>
      </c>
      <c r="C418" s="2" t="str">
        <f t="shared" si="21"/>
        <v>May</v>
      </c>
      <c r="D418" s="6">
        <f t="shared" si="22"/>
        <v>2024</v>
      </c>
      <c r="E418" s="6">
        <v>102</v>
      </c>
      <c r="F418" s="4" t="s">
        <v>112</v>
      </c>
      <c r="G418" s="6">
        <v>50</v>
      </c>
      <c r="H418" t="s">
        <v>22</v>
      </c>
      <c r="I418" t="s">
        <v>23</v>
      </c>
      <c r="J418">
        <v>13</v>
      </c>
      <c r="K418" t="s">
        <v>40</v>
      </c>
      <c r="L418" t="s">
        <v>38</v>
      </c>
      <c r="M418" s="8">
        <v>1340.6</v>
      </c>
      <c r="N418" s="6">
        <v>5</v>
      </c>
      <c r="O418" s="8">
        <f t="shared" si="23"/>
        <v>6703</v>
      </c>
      <c r="P418" t="s">
        <v>220</v>
      </c>
    </row>
    <row r="419" spans="1:16" x14ac:dyDescent="0.3">
      <c r="A419" s="6">
        <v>418</v>
      </c>
      <c r="B419" s="37">
        <v>45502</v>
      </c>
      <c r="C419" s="2" t="str">
        <f t="shared" si="21"/>
        <v>Jul</v>
      </c>
      <c r="D419" s="6">
        <f t="shared" si="22"/>
        <v>2024</v>
      </c>
      <c r="E419" s="6">
        <v>76</v>
      </c>
      <c r="F419" s="4" t="s">
        <v>166</v>
      </c>
      <c r="G419" s="6">
        <v>22</v>
      </c>
      <c r="H419" t="s">
        <v>22</v>
      </c>
      <c r="I419" t="s">
        <v>23</v>
      </c>
      <c r="J419">
        <v>28</v>
      </c>
      <c r="K419" t="s">
        <v>77</v>
      </c>
      <c r="L419" t="s">
        <v>25</v>
      </c>
      <c r="M419" s="8">
        <v>486.19</v>
      </c>
      <c r="N419" s="6">
        <v>1</v>
      </c>
      <c r="O419" s="8">
        <f t="shared" si="23"/>
        <v>486.19</v>
      </c>
      <c r="P419" t="s">
        <v>219</v>
      </c>
    </row>
    <row r="420" spans="1:16" x14ac:dyDescent="0.3">
      <c r="A420" s="6">
        <v>419</v>
      </c>
      <c r="B420" s="37">
        <v>45859</v>
      </c>
      <c r="C420" s="2" t="str">
        <f t="shared" si="21"/>
        <v>Jul</v>
      </c>
      <c r="D420" s="6">
        <f t="shared" si="22"/>
        <v>2025</v>
      </c>
      <c r="E420" s="6">
        <v>70</v>
      </c>
      <c r="F420" s="4" t="s">
        <v>162</v>
      </c>
      <c r="G420" s="6">
        <v>44</v>
      </c>
      <c r="H420" t="s">
        <v>32</v>
      </c>
      <c r="I420" t="s">
        <v>33</v>
      </c>
      <c r="J420">
        <v>24</v>
      </c>
      <c r="K420" t="s">
        <v>45</v>
      </c>
      <c r="L420" t="s">
        <v>19</v>
      </c>
      <c r="M420" s="8">
        <v>213.01</v>
      </c>
      <c r="N420" s="6">
        <v>2</v>
      </c>
      <c r="O420" s="8">
        <f t="shared" si="23"/>
        <v>426.02</v>
      </c>
      <c r="P420" t="s">
        <v>222</v>
      </c>
    </row>
    <row r="421" spans="1:16" x14ac:dyDescent="0.3">
      <c r="A421" s="6">
        <v>420</v>
      </c>
      <c r="B421" s="37">
        <v>45892</v>
      </c>
      <c r="C421" s="2" t="str">
        <f t="shared" si="21"/>
        <v>Aug</v>
      </c>
      <c r="D421" s="6">
        <f t="shared" si="22"/>
        <v>2025</v>
      </c>
      <c r="E421" s="6">
        <v>20</v>
      </c>
      <c r="F421" s="4" t="s">
        <v>188</v>
      </c>
      <c r="G421" s="6">
        <v>67</v>
      </c>
      <c r="H421" t="s">
        <v>49</v>
      </c>
      <c r="I421" t="s">
        <v>50</v>
      </c>
      <c r="J421">
        <v>26</v>
      </c>
      <c r="K421" t="s">
        <v>54</v>
      </c>
      <c r="L421" t="s">
        <v>25</v>
      </c>
      <c r="M421" s="8">
        <v>803.73</v>
      </c>
      <c r="N421" s="6">
        <v>2</v>
      </c>
      <c r="O421" s="8">
        <f t="shared" si="23"/>
        <v>1607.46</v>
      </c>
      <c r="P421" t="s">
        <v>221</v>
      </c>
    </row>
    <row r="422" spans="1:16" x14ac:dyDescent="0.3">
      <c r="A422" s="6">
        <v>421</v>
      </c>
      <c r="B422" s="37">
        <v>45530</v>
      </c>
      <c r="C422" s="2" t="str">
        <f t="shared" si="21"/>
        <v>Aug</v>
      </c>
      <c r="D422" s="6">
        <f t="shared" si="22"/>
        <v>2024</v>
      </c>
      <c r="E422" s="6">
        <v>68</v>
      </c>
      <c r="F422" s="4" t="s">
        <v>142</v>
      </c>
      <c r="G422" s="6">
        <v>22</v>
      </c>
      <c r="H422" t="s">
        <v>52</v>
      </c>
      <c r="I422" t="s">
        <v>53</v>
      </c>
      <c r="J422">
        <v>4</v>
      </c>
      <c r="K422" t="s">
        <v>48</v>
      </c>
      <c r="L422" t="s">
        <v>29</v>
      </c>
      <c r="M422" s="8">
        <v>1156.21</v>
      </c>
      <c r="N422" s="6">
        <v>3</v>
      </c>
      <c r="O422" s="8">
        <f t="shared" si="23"/>
        <v>3468.63</v>
      </c>
      <c r="P422" t="s">
        <v>222</v>
      </c>
    </row>
    <row r="423" spans="1:16" x14ac:dyDescent="0.3">
      <c r="A423" s="6">
        <v>422</v>
      </c>
      <c r="B423" s="37">
        <v>45443</v>
      </c>
      <c r="C423" s="2" t="str">
        <f t="shared" si="21"/>
        <v>May</v>
      </c>
      <c r="D423" s="6">
        <f t="shared" si="22"/>
        <v>2024</v>
      </c>
      <c r="E423" s="6">
        <v>22</v>
      </c>
      <c r="F423" s="4" t="s">
        <v>125</v>
      </c>
      <c r="G423" s="6">
        <v>31</v>
      </c>
      <c r="H423" t="s">
        <v>32</v>
      </c>
      <c r="I423" t="s">
        <v>33</v>
      </c>
      <c r="J423">
        <v>1</v>
      </c>
      <c r="K423" t="s">
        <v>69</v>
      </c>
      <c r="L423" t="s">
        <v>29</v>
      </c>
      <c r="M423" s="8">
        <v>83.63</v>
      </c>
      <c r="N423" s="6">
        <v>5</v>
      </c>
      <c r="O423" s="8">
        <f t="shared" si="23"/>
        <v>418.15</v>
      </c>
      <c r="P423" t="s">
        <v>221</v>
      </c>
    </row>
    <row r="424" spans="1:16" x14ac:dyDescent="0.3">
      <c r="A424" s="6">
        <v>423</v>
      </c>
      <c r="B424" s="37">
        <v>45294</v>
      </c>
      <c r="C424" s="2" t="str">
        <f t="shared" si="21"/>
        <v>Jan</v>
      </c>
      <c r="D424" s="6">
        <f t="shared" si="22"/>
        <v>2024</v>
      </c>
      <c r="E424" s="6">
        <v>92</v>
      </c>
      <c r="F424" s="4" t="s">
        <v>141</v>
      </c>
      <c r="G424" s="6">
        <v>40</v>
      </c>
      <c r="H424" t="s">
        <v>49</v>
      </c>
      <c r="I424" t="s">
        <v>50</v>
      </c>
      <c r="J424">
        <v>21</v>
      </c>
      <c r="K424" t="s">
        <v>66</v>
      </c>
      <c r="L424" t="s">
        <v>19</v>
      </c>
      <c r="M424" s="8">
        <v>842.75</v>
      </c>
      <c r="N424" s="6">
        <v>3</v>
      </c>
      <c r="O424" s="8">
        <f t="shared" si="23"/>
        <v>2528.25</v>
      </c>
      <c r="P424" t="s">
        <v>220</v>
      </c>
    </row>
    <row r="425" spans="1:16" x14ac:dyDescent="0.3">
      <c r="A425" s="6">
        <v>424</v>
      </c>
      <c r="B425" s="37">
        <v>45440</v>
      </c>
      <c r="C425" s="2" t="str">
        <f t="shared" si="21"/>
        <v>May</v>
      </c>
      <c r="D425" s="6">
        <f t="shared" si="22"/>
        <v>2024</v>
      </c>
      <c r="E425" s="6">
        <v>70</v>
      </c>
      <c r="F425" s="4" t="s">
        <v>162</v>
      </c>
      <c r="G425" s="6">
        <v>44</v>
      </c>
      <c r="H425" t="s">
        <v>32</v>
      </c>
      <c r="I425" t="s">
        <v>33</v>
      </c>
      <c r="J425">
        <v>7</v>
      </c>
      <c r="K425" t="s">
        <v>80</v>
      </c>
      <c r="L425" t="s">
        <v>71</v>
      </c>
      <c r="M425" s="8">
        <v>869.87</v>
      </c>
      <c r="N425" s="6">
        <v>2</v>
      </c>
      <c r="O425" s="8">
        <f t="shared" si="23"/>
        <v>1739.74</v>
      </c>
      <c r="P425" t="s">
        <v>219</v>
      </c>
    </row>
    <row r="426" spans="1:16" x14ac:dyDescent="0.3">
      <c r="A426" s="6">
        <v>425</v>
      </c>
      <c r="B426" s="37">
        <v>45845</v>
      </c>
      <c r="C426" s="2" t="str">
        <f t="shared" si="21"/>
        <v>Jul</v>
      </c>
      <c r="D426" s="6">
        <f t="shared" si="22"/>
        <v>2025</v>
      </c>
      <c r="E426" s="6">
        <v>53</v>
      </c>
      <c r="F426" s="4" t="s">
        <v>124</v>
      </c>
      <c r="G426" s="6">
        <v>47</v>
      </c>
      <c r="H426" t="s">
        <v>16</v>
      </c>
      <c r="I426" t="s">
        <v>17</v>
      </c>
      <c r="J426">
        <v>11</v>
      </c>
      <c r="K426" t="s">
        <v>55</v>
      </c>
      <c r="L426" t="s">
        <v>38</v>
      </c>
      <c r="M426" s="8">
        <v>234.14</v>
      </c>
      <c r="N426" s="6">
        <v>3</v>
      </c>
      <c r="O426" s="8">
        <f t="shared" si="23"/>
        <v>702.42</v>
      </c>
      <c r="P426" t="s">
        <v>221</v>
      </c>
    </row>
    <row r="427" spans="1:16" x14ac:dyDescent="0.3">
      <c r="A427" s="6">
        <v>426</v>
      </c>
      <c r="B427" s="37">
        <v>45470</v>
      </c>
      <c r="C427" s="2" t="str">
        <f t="shared" si="21"/>
        <v>Jun</v>
      </c>
      <c r="D427" s="6">
        <f t="shared" si="22"/>
        <v>2024</v>
      </c>
      <c r="E427" s="6">
        <v>14</v>
      </c>
      <c r="F427" s="4" t="s">
        <v>108</v>
      </c>
      <c r="G427" s="6">
        <v>67</v>
      </c>
      <c r="H427" t="s">
        <v>32</v>
      </c>
      <c r="I427" t="s">
        <v>33</v>
      </c>
      <c r="J427">
        <v>4</v>
      </c>
      <c r="K427" t="s">
        <v>48</v>
      </c>
      <c r="L427" t="s">
        <v>29</v>
      </c>
      <c r="M427" s="8">
        <v>1156.21</v>
      </c>
      <c r="N427" s="6">
        <v>1</v>
      </c>
      <c r="O427" s="8">
        <f t="shared" si="23"/>
        <v>1156.21</v>
      </c>
      <c r="P427" t="s">
        <v>221</v>
      </c>
    </row>
    <row r="428" spans="1:16" x14ac:dyDescent="0.3">
      <c r="A428" s="6">
        <v>427</v>
      </c>
      <c r="B428" s="37">
        <v>45968</v>
      </c>
      <c r="C428" s="2" t="str">
        <f t="shared" si="21"/>
        <v>Nov</v>
      </c>
      <c r="D428" s="6">
        <f t="shared" si="22"/>
        <v>2025</v>
      </c>
      <c r="E428" s="6">
        <v>10</v>
      </c>
      <c r="F428" s="4" t="s">
        <v>190</v>
      </c>
      <c r="G428" s="6">
        <v>56</v>
      </c>
      <c r="H428" t="s">
        <v>16</v>
      </c>
      <c r="I428" t="s">
        <v>17</v>
      </c>
      <c r="J428">
        <v>16</v>
      </c>
      <c r="K428" t="s">
        <v>64</v>
      </c>
      <c r="L428" t="s">
        <v>43</v>
      </c>
      <c r="M428" s="8">
        <v>1170.95</v>
      </c>
      <c r="N428" s="6">
        <v>1</v>
      </c>
      <c r="O428" s="8">
        <f t="shared" si="23"/>
        <v>1170.95</v>
      </c>
      <c r="P428" t="s">
        <v>222</v>
      </c>
    </row>
    <row r="429" spans="1:16" x14ac:dyDescent="0.3">
      <c r="A429" s="6">
        <v>428</v>
      </c>
      <c r="B429" s="37">
        <v>45426</v>
      </c>
      <c r="C429" s="2" t="str">
        <f t="shared" si="21"/>
        <v>May</v>
      </c>
      <c r="D429" s="6">
        <f t="shared" si="22"/>
        <v>2024</v>
      </c>
      <c r="E429" s="6">
        <v>84</v>
      </c>
      <c r="F429" s="4" t="s">
        <v>182</v>
      </c>
      <c r="G429" s="6">
        <v>45</v>
      </c>
      <c r="H429" t="s">
        <v>32</v>
      </c>
      <c r="I429" t="s">
        <v>33</v>
      </c>
      <c r="J429">
        <v>8</v>
      </c>
      <c r="K429" t="s">
        <v>78</v>
      </c>
      <c r="L429" t="s">
        <v>71</v>
      </c>
      <c r="M429" s="8">
        <v>1081.74</v>
      </c>
      <c r="N429" s="6">
        <v>1</v>
      </c>
      <c r="O429" s="8">
        <f t="shared" si="23"/>
        <v>1081.74</v>
      </c>
      <c r="P429" t="s">
        <v>221</v>
      </c>
    </row>
    <row r="430" spans="1:16" x14ac:dyDescent="0.3">
      <c r="A430" s="6">
        <v>429</v>
      </c>
      <c r="B430" s="37">
        <v>45658</v>
      </c>
      <c r="C430" s="2" t="str">
        <f t="shared" si="21"/>
        <v>Jan</v>
      </c>
      <c r="D430" s="6">
        <f t="shared" si="22"/>
        <v>2025</v>
      </c>
      <c r="E430" s="6">
        <v>49</v>
      </c>
      <c r="F430" s="4" t="s">
        <v>119</v>
      </c>
      <c r="G430" s="6">
        <v>33</v>
      </c>
      <c r="H430" t="s">
        <v>16</v>
      </c>
      <c r="I430" t="s">
        <v>17</v>
      </c>
      <c r="J430">
        <v>13</v>
      </c>
      <c r="K430" t="s">
        <v>40</v>
      </c>
      <c r="L430" t="s">
        <v>38</v>
      </c>
      <c r="M430" s="8">
        <v>1340.6</v>
      </c>
      <c r="N430" s="6">
        <v>2</v>
      </c>
      <c r="O430" s="8">
        <f t="shared" si="23"/>
        <v>2681.2</v>
      </c>
      <c r="P430" t="s">
        <v>221</v>
      </c>
    </row>
    <row r="431" spans="1:16" x14ac:dyDescent="0.3">
      <c r="A431" s="6">
        <v>430</v>
      </c>
      <c r="B431" s="37">
        <v>45894</v>
      </c>
      <c r="C431" s="2" t="str">
        <f t="shared" si="21"/>
        <v>Aug</v>
      </c>
      <c r="D431" s="6">
        <f t="shared" si="22"/>
        <v>2025</v>
      </c>
      <c r="E431" s="6">
        <v>75</v>
      </c>
      <c r="F431" s="4" t="s">
        <v>119</v>
      </c>
      <c r="G431" s="6">
        <v>31</v>
      </c>
      <c r="H431" t="s">
        <v>59</v>
      </c>
      <c r="I431" t="s">
        <v>33</v>
      </c>
      <c r="J431">
        <v>11</v>
      </c>
      <c r="K431" t="s">
        <v>55</v>
      </c>
      <c r="L431" t="s">
        <v>38</v>
      </c>
      <c r="M431" s="8">
        <v>234.14</v>
      </c>
      <c r="N431" s="6">
        <v>3</v>
      </c>
      <c r="O431" s="8">
        <f t="shared" si="23"/>
        <v>702.42</v>
      </c>
      <c r="P431" t="s">
        <v>220</v>
      </c>
    </row>
    <row r="432" spans="1:16" x14ac:dyDescent="0.3">
      <c r="A432" s="6">
        <v>431</v>
      </c>
      <c r="B432" s="37">
        <v>45308</v>
      </c>
      <c r="C432" s="2" t="str">
        <f t="shared" si="21"/>
        <v>Jan</v>
      </c>
      <c r="D432" s="6">
        <f t="shared" si="22"/>
        <v>2024</v>
      </c>
      <c r="E432" s="6">
        <v>11</v>
      </c>
      <c r="F432" s="4" t="s">
        <v>130</v>
      </c>
      <c r="G432" s="6">
        <v>52</v>
      </c>
      <c r="H432" t="s">
        <v>32</v>
      </c>
      <c r="I432" t="s">
        <v>33</v>
      </c>
      <c r="J432">
        <v>14</v>
      </c>
      <c r="K432" t="s">
        <v>81</v>
      </c>
      <c r="L432" t="s">
        <v>38</v>
      </c>
      <c r="M432" s="8">
        <v>1292.75</v>
      </c>
      <c r="N432" s="6">
        <v>2</v>
      </c>
      <c r="O432" s="8">
        <f t="shared" si="23"/>
        <v>2585.5</v>
      </c>
      <c r="P432" t="s">
        <v>221</v>
      </c>
    </row>
    <row r="433" spans="1:16" x14ac:dyDescent="0.3">
      <c r="A433" s="6">
        <v>432</v>
      </c>
      <c r="B433" s="37">
        <v>45563</v>
      </c>
      <c r="C433" s="2" t="str">
        <f t="shared" si="21"/>
        <v>Sept</v>
      </c>
      <c r="D433" s="6">
        <f t="shared" si="22"/>
        <v>2024</v>
      </c>
      <c r="E433" s="6">
        <v>69</v>
      </c>
      <c r="F433" s="4" t="s">
        <v>184</v>
      </c>
      <c r="G433" s="6">
        <v>54</v>
      </c>
      <c r="H433" t="s">
        <v>49</v>
      </c>
      <c r="I433" t="s">
        <v>50</v>
      </c>
      <c r="J433">
        <v>6</v>
      </c>
      <c r="K433" t="s">
        <v>86</v>
      </c>
      <c r="L433" t="s">
        <v>71</v>
      </c>
      <c r="M433" s="8">
        <v>1330.91</v>
      </c>
      <c r="N433" s="6">
        <v>1</v>
      </c>
      <c r="O433" s="8">
        <f t="shared" si="23"/>
        <v>1330.91</v>
      </c>
      <c r="P433" t="s">
        <v>220</v>
      </c>
    </row>
    <row r="434" spans="1:16" x14ac:dyDescent="0.3">
      <c r="A434" s="6">
        <v>433</v>
      </c>
      <c r="B434" s="37">
        <v>45421</v>
      </c>
      <c r="C434" s="2" t="str">
        <f t="shared" si="21"/>
        <v>May</v>
      </c>
      <c r="D434" s="6">
        <f t="shared" si="22"/>
        <v>2024</v>
      </c>
      <c r="E434" s="6">
        <v>105</v>
      </c>
      <c r="F434" s="4" t="s">
        <v>113</v>
      </c>
      <c r="G434" s="6">
        <v>45</v>
      </c>
      <c r="H434" t="s">
        <v>16</v>
      </c>
      <c r="I434" t="s">
        <v>17</v>
      </c>
      <c r="J434">
        <v>4</v>
      </c>
      <c r="K434" t="s">
        <v>48</v>
      </c>
      <c r="L434" t="s">
        <v>29</v>
      </c>
      <c r="M434" s="8">
        <v>1156.21</v>
      </c>
      <c r="N434" s="6">
        <v>6</v>
      </c>
      <c r="O434" s="8">
        <f t="shared" si="23"/>
        <v>6937.26</v>
      </c>
      <c r="P434" t="s">
        <v>221</v>
      </c>
    </row>
    <row r="435" spans="1:16" x14ac:dyDescent="0.3">
      <c r="A435" s="6">
        <v>434</v>
      </c>
      <c r="B435" s="37">
        <v>45723</v>
      </c>
      <c r="C435" s="2" t="str">
        <f t="shared" si="21"/>
        <v>Mar</v>
      </c>
      <c r="D435" s="6">
        <f t="shared" si="22"/>
        <v>2025</v>
      </c>
      <c r="E435" s="6">
        <v>76</v>
      </c>
      <c r="F435" s="4" t="s">
        <v>166</v>
      </c>
      <c r="G435" s="6">
        <v>22</v>
      </c>
      <c r="H435" t="s">
        <v>22</v>
      </c>
      <c r="I435" t="s">
        <v>23</v>
      </c>
      <c r="J435">
        <v>4</v>
      </c>
      <c r="K435" t="s">
        <v>48</v>
      </c>
      <c r="L435" t="s">
        <v>29</v>
      </c>
      <c r="M435" s="8">
        <v>1156.21</v>
      </c>
      <c r="N435" s="6">
        <v>5</v>
      </c>
      <c r="O435" s="8">
        <f t="shared" si="23"/>
        <v>5781.05</v>
      </c>
      <c r="P435" t="s">
        <v>219</v>
      </c>
    </row>
    <row r="436" spans="1:16" x14ac:dyDescent="0.3">
      <c r="A436" s="6">
        <v>435</v>
      </c>
      <c r="B436" s="37">
        <v>45408</v>
      </c>
      <c r="C436" s="2" t="str">
        <f t="shared" si="21"/>
        <v>Apr</v>
      </c>
      <c r="D436" s="6">
        <f t="shared" si="22"/>
        <v>2024</v>
      </c>
      <c r="E436" s="6">
        <v>99</v>
      </c>
      <c r="F436" s="4" t="s">
        <v>154</v>
      </c>
      <c r="G436" s="6">
        <v>40</v>
      </c>
      <c r="H436" t="s">
        <v>49</v>
      </c>
      <c r="I436" t="s">
        <v>50</v>
      </c>
      <c r="J436">
        <v>11</v>
      </c>
      <c r="K436" t="s">
        <v>55</v>
      </c>
      <c r="L436" t="s">
        <v>38</v>
      </c>
      <c r="M436" s="8">
        <v>234.14</v>
      </c>
      <c r="N436" s="6">
        <v>6</v>
      </c>
      <c r="O436" s="8">
        <f t="shared" si="23"/>
        <v>1404.84</v>
      </c>
      <c r="P436" t="s">
        <v>221</v>
      </c>
    </row>
    <row r="437" spans="1:16" x14ac:dyDescent="0.3">
      <c r="A437" s="6">
        <v>436</v>
      </c>
      <c r="B437" s="37">
        <v>45357</v>
      </c>
      <c r="C437" s="2" t="str">
        <f t="shared" si="21"/>
        <v>Mar</v>
      </c>
      <c r="D437" s="6">
        <f t="shared" si="22"/>
        <v>2024</v>
      </c>
      <c r="E437" s="6">
        <v>85</v>
      </c>
      <c r="F437" s="4" t="s">
        <v>167</v>
      </c>
      <c r="G437" s="6">
        <v>39</v>
      </c>
      <c r="H437" t="s">
        <v>22</v>
      </c>
      <c r="I437" t="s">
        <v>23</v>
      </c>
      <c r="J437">
        <v>25</v>
      </c>
      <c r="K437" t="s">
        <v>61</v>
      </c>
      <c r="L437" t="s">
        <v>19</v>
      </c>
      <c r="M437" s="8">
        <v>705</v>
      </c>
      <c r="N437" s="6">
        <v>4</v>
      </c>
      <c r="O437" s="8">
        <f t="shared" si="23"/>
        <v>2820</v>
      </c>
      <c r="P437" t="s">
        <v>220</v>
      </c>
    </row>
    <row r="438" spans="1:16" x14ac:dyDescent="0.3">
      <c r="A438" s="6">
        <v>437</v>
      </c>
      <c r="B438" s="37">
        <v>45751</v>
      </c>
      <c r="C438" s="2" t="str">
        <f t="shared" si="21"/>
        <v>Apr</v>
      </c>
      <c r="D438" s="6">
        <f t="shared" si="22"/>
        <v>2025</v>
      </c>
      <c r="E438" s="6">
        <v>62</v>
      </c>
      <c r="F438" s="4" t="s">
        <v>149</v>
      </c>
      <c r="G438" s="6">
        <v>18</v>
      </c>
      <c r="H438" t="s">
        <v>32</v>
      </c>
      <c r="I438" t="s">
        <v>33</v>
      </c>
      <c r="J438">
        <v>18</v>
      </c>
      <c r="K438" t="s">
        <v>68</v>
      </c>
      <c r="L438" t="s">
        <v>43</v>
      </c>
      <c r="M438" s="8">
        <v>1209.0999999999999</v>
      </c>
      <c r="N438" s="6">
        <v>3</v>
      </c>
      <c r="O438" s="8">
        <f t="shared" si="23"/>
        <v>3627.2999999999997</v>
      </c>
      <c r="P438" t="s">
        <v>220</v>
      </c>
    </row>
    <row r="439" spans="1:16" x14ac:dyDescent="0.3">
      <c r="A439" s="6">
        <v>438</v>
      </c>
      <c r="B439" s="37">
        <v>45817</v>
      </c>
      <c r="C439" s="2" t="str">
        <f t="shared" si="21"/>
        <v>Jun</v>
      </c>
      <c r="D439" s="6">
        <f t="shared" si="22"/>
        <v>2025</v>
      </c>
      <c r="E439" s="6">
        <v>61</v>
      </c>
      <c r="F439" s="4" t="s">
        <v>146</v>
      </c>
      <c r="G439" s="6">
        <v>43</v>
      </c>
      <c r="H439" t="s">
        <v>52</v>
      </c>
      <c r="I439" t="s">
        <v>53</v>
      </c>
      <c r="J439">
        <v>29</v>
      </c>
      <c r="K439" t="s">
        <v>65</v>
      </c>
      <c r="L439" t="s">
        <v>25</v>
      </c>
      <c r="M439" s="8">
        <v>1136.55</v>
      </c>
      <c r="N439" s="6">
        <v>5</v>
      </c>
      <c r="O439" s="8">
        <f t="shared" si="23"/>
        <v>5682.75</v>
      </c>
      <c r="P439" t="s">
        <v>222</v>
      </c>
    </row>
    <row r="440" spans="1:16" x14ac:dyDescent="0.3">
      <c r="A440" s="6">
        <v>439</v>
      </c>
      <c r="B440" s="37">
        <v>45403</v>
      </c>
      <c r="C440" s="2" t="str">
        <f t="shared" si="21"/>
        <v>Apr</v>
      </c>
      <c r="D440" s="6">
        <f t="shared" si="22"/>
        <v>2024</v>
      </c>
      <c r="E440" s="6">
        <v>105</v>
      </c>
      <c r="F440" s="4" t="s">
        <v>113</v>
      </c>
      <c r="G440" s="6">
        <v>45</v>
      </c>
      <c r="H440" t="s">
        <v>16</v>
      </c>
      <c r="I440" t="s">
        <v>17</v>
      </c>
      <c r="J440">
        <v>7</v>
      </c>
      <c r="K440" t="s">
        <v>80</v>
      </c>
      <c r="L440" t="s">
        <v>71</v>
      </c>
      <c r="M440" s="8">
        <v>869.87</v>
      </c>
      <c r="N440" s="6">
        <v>4</v>
      </c>
      <c r="O440" s="8">
        <f t="shared" si="23"/>
        <v>3479.48</v>
      </c>
      <c r="P440" t="s">
        <v>219</v>
      </c>
    </row>
    <row r="441" spans="1:16" x14ac:dyDescent="0.3">
      <c r="A441" s="6">
        <v>440</v>
      </c>
      <c r="B441" s="37">
        <v>45807</v>
      </c>
      <c r="C441" s="2" t="str">
        <f t="shared" si="21"/>
        <v>May</v>
      </c>
      <c r="D441" s="6">
        <f t="shared" si="22"/>
        <v>2025</v>
      </c>
      <c r="E441" s="6">
        <v>88</v>
      </c>
      <c r="F441" s="4" t="s">
        <v>126</v>
      </c>
      <c r="G441" s="6">
        <v>62</v>
      </c>
      <c r="H441" t="s">
        <v>32</v>
      </c>
      <c r="I441" t="s">
        <v>33</v>
      </c>
      <c r="J441">
        <v>24</v>
      </c>
      <c r="K441" t="s">
        <v>45</v>
      </c>
      <c r="L441" t="s">
        <v>19</v>
      </c>
      <c r="M441" s="8">
        <v>213.01</v>
      </c>
      <c r="N441" s="6">
        <v>2</v>
      </c>
      <c r="O441" s="8">
        <f t="shared" si="23"/>
        <v>426.02</v>
      </c>
      <c r="P441" t="s">
        <v>221</v>
      </c>
    </row>
    <row r="442" spans="1:16" x14ac:dyDescent="0.3">
      <c r="A442" s="6">
        <v>441</v>
      </c>
      <c r="B442" s="37">
        <v>45921</v>
      </c>
      <c r="C442" s="2" t="str">
        <f t="shared" si="21"/>
        <v>Sept</v>
      </c>
      <c r="D442" s="6">
        <f t="shared" si="22"/>
        <v>2025</v>
      </c>
      <c r="E442" s="6">
        <v>119</v>
      </c>
      <c r="F442" s="4" t="s">
        <v>110</v>
      </c>
      <c r="G442" s="6">
        <v>61</v>
      </c>
      <c r="H442" t="s">
        <v>16</v>
      </c>
      <c r="I442" t="s">
        <v>17</v>
      </c>
      <c r="J442">
        <v>22</v>
      </c>
      <c r="K442" t="s">
        <v>85</v>
      </c>
      <c r="L442" t="s">
        <v>19</v>
      </c>
      <c r="M442" s="8">
        <v>1377.44</v>
      </c>
      <c r="N442" s="6">
        <v>1</v>
      </c>
      <c r="O442" s="8">
        <f t="shared" si="23"/>
        <v>1377.44</v>
      </c>
      <c r="P442" t="s">
        <v>219</v>
      </c>
    </row>
    <row r="443" spans="1:16" x14ac:dyDescent="0.3">
      <c r="A443" s="6">
        <v>442</v>
      </c>
      <c r="B443" s="37">
        <v>45966</v>
      </c>
      <c r="C443" s="2" t="str">
        <f t="shared" si="21"/>
        <v>Nov</v>
      </c>
      <c r="D443" s="6">
        <f t="shared" si="22"/>
        <v>2025</v>
      </c>
      <c r="E443" s="6">
        <v>22</v>
      </c>
      <c r="F443" s="4" t="s">
        <v>125</v>
      </c>
      <c r="G443" s="6">
        <v>31</v>
      </c>
      <c r="H443" t="s">
        <v>32</v>
      </c>
      <c r="I443" t="s">
        <v>33</v>
      </c>
      <c r="J443">
        <v>13</v>
      </c>
      <c r="K443" t="s">
        <v>40</v>
      </c>
      <c r="L443" t="s">
        <v>38</v>
      </c>
      <c r="M443" s="8">
        <v>1340.6</v>
      </c>
      <c r="N443" s="6">
        <v>5</v>
      </c>
      <c r="O443" s="8">
        <f t="shared" si="23"/>
        <v>6703</v>
      </c>
      <c r="P443" t="s">
        <v>221</v>
      </c>
    </row>
    <row r="444" spans="1:16" x14ac:dyDescent="0.3">
      <c r="A444" s="6">
        <v>443</v>
      </c>
      <c r="B444" s="37">
        <v>45600</v>
      </c>
      <c r="C444" s="2" t="str">
        <f t="shared" si="21"/>
        <v>Nov</v>
      </c>
      <c r="D444" s="6">
        <f t="shared" si="22"/>
        <v>2024</v>
      </c>
      <c r="E444" s="6">
        <v>12</v>
      </c>
      <c r="F444" s="4" t="s">
        <v>119</v>
      </c>
      <c r="G444" s="6">
        <v>36</v>
      </c>
      <c r="H444" t="s">
        <v>32</v>
      </c>
      <c r="I444" t="s">
        <v>33</v>
      </c>
      <c r="J444">
        <v>19</v>
      </c>
      <c r="K444" t="s">
        <v>84</v>
      </c>
      <c r="L444" t="s">
        <v>43</v>
      </c>
      <c r="M444" s="8">
        <v>1048.43</v>
      </c>
      <c r="N444" s="6">
        <v>4</v>
      </c>
      <c r="O444" s="8">
        <f t="shared" si="23"/>
        <v>4193.72</v>
      </c>
      <c r="P444" t="s">
        <v>220</v>
      </c>
    </row>
    <row r="445" spans="1:16" x14ac:dyDescent="0.3">
      <c r="A445" s="6">
        <v>444</v>
      </c>
      <c r="B445" s="37">
        <v>45950</v>
      </c>
      <c r="C445" s="2" t="str">
        <f t="shared" si="21"/>
        <v>Oct</v>
      </c>
      <c r="D445" s="6">
        <f t="shared" si="22"/>
        <v>2025</v>
      </c>
      <c r="E445" s="6">
        <v>63</v>
      </c>
      <c r="F445" s="4" t="s">
        <v>191</v>
      </c>
      <c r="G445" s="6">
        <v>36</v>
      </c>
      <c r="H445" t="s">
        <v>22</v>
      </c>
      <c r="I445" t="s">
        <v>23</v>
      </c>
      <c r="J445">
        <v>23</v>
      </c>
      <c r="K445" t="s">
        <v>18</v>
      </c>
      <c r="L445" t="s">
        <v>19</v>
      </c>
      <c r="M445" s="8">
        <v>195.22</v>
      </c>
      <c r="N445" s="6">
        <v>1</v>
      </c>
      <c r="O445" s="8">
        <f t="shared" si="23"/>
        <v>195.22</v>
      </c>
      <c r="P445" t="s">
        <v>222</v>
      </c>
    </row>
    <row r="446" spans="1:16" x14ac:dyDescent="0.3">
      <c r="A446" s="6">
        <v>445</v>
      </c>
      <c r="B446" s="37">
        <v>45354</v>
      </c>
      <c r="C446" s="2" t="str">
        <f t="shared" si="21"/>
        <v>Mar</v>
      </c>
      <c r="D446" s="6">
        <f t="shared" si="22"/>
        <v>2024</v>
      </c>
      <c r="E446" s="6">
        <v>94</v>
      </c>
      <c r="F446" s="4" t="s">
        <v>172</v>
      </c>
      <c r="G446" s="6">
        <v>69</v>
      </c>
      <c r="H446" t="s">
        <v>49</v>
      </c>
      <c r="I446" t="s">
        <v>50</v>
      </c>
      <c r="J446">
        <v>13</v>
      </c>
      <c r="K446" t="s">
        <v>40</v>
      </c>
      <c r="L446" t="s">
        <v>38</v>
      </c>
      <c r="M446" s="8">
        <v>1340.6</v>
      </c>
      <c r="N446" s="6">
        <v>4</v>
      </c>
      <c r="O446" s="8">
        <f t="shared" si="23"/>
        <v>5362.4</v>
      </c>
      <c r="P446" t="s">
        <v>220</v>
      </c>
    </row>
    <row r="447" spans="1:16" x14ac:dyDescent="0.3">
      <c r="A447" s="6">
        <v>446</v>
      </c>
      <c r="B447" s="37">
        <v>45703</v>
      </c>
      <c r="C447" s="2" t="str">
        <f t="shared" si="21"/>
        <v>Feb</v>
      </c>
      <c r="D447" s="6">
        <f t="shared" si="22"/>
        <v>2025</v>
      </c>
      <c r="E447" s="6">
        <v>38</v>
      </c>
      <c r="F447" s="4" t="s">
        <v>177</v>
      </c>
      <c r="G447" s="6">
        <v>54</v>
      </c>
      <c r="H447" t="s">
        <v>49</v>
      </c>
      <c r="I447" t="s">
        <v>50</v>
      </c>
      <c r="J447">
        <v>29</v>
      </c>
      <c r="K447" t="s">
        <v>65</v>
      </c>
      <c r="L447" t="s">
        <v>25</v>
      </c>
      <c r="M447" s="8">
        <v>1136.55</v>
      </c>
      <c r="N447" s="6">
        <v>4</v>
      </c>
      <c r="O447" s="8">
        <f t="shared" si="23"/>
        <v>4546.2</v>
      </c>
      <c r="P447" t="s">
        <v>221</v>
      </c>
    </row>
    <row r="448" spans="1:16" x14ac:dyDescent="0.3">
      <c r="A448" s="6">
        <v>447</v>
      </c>
      <c r="B448" s="37">
        <v>45994</v>
      </c>
      <c r="C448" s="2" t="str">
        <f t="shared" si="21"/>
        <v>Dec</v>
      </c>
      <c r="D448" s="6">
        <f t="shared" si="22"/>
        <v>2025</v>
      </c>
      <c r="E448" s="6">
        <v>93</v>
      </c>
      <c r="F448" s="4" t="s">
        <v>158</v>
      </c>
      <c r="G448" s="6">
        <v>27</v>
      </c>
      <c r="H448" t="s">
        <v>32</v>
      </c>
      <c r="I448" t="s">
        <v>33</v>
      </c>
      <c r="J448">
        <v>29</v>
      </c>
      <c r="K448" t="s">
        <v>65</v>
      </c>
      <c r="L448" t="s">
        <v>25</v>
      </c>
      <c r="M448" s="8">
        <v>1136.55</v>
      </c>
      <c r="N448" s="6">
        <v>1</v>
      </c>
      <c r="O448" s="8">
        <f t="shared" si="23"/>
        <v>1136.55</v>
      </c>
      <c r="P448" t="s">
        <v>219</v>
      </c>
    </row>
    <row r="449" spans="1:16" x14ac:dyDescent="0.3">
      <c r="A449" s="6">
        <v>448</v>
      </c>
      <c r="B449" s="37">
        <v>45794</v>
      </c>
      <c r="C449" s="2" t="str">
        <f t="shared" si="21"/>
        <v>May</v>
      </c>
      <c r="D449" s="6">
        <f t="shared" si="22"/>
        <v>2025</v>
      </c>
      <c r="E449" s="6">
        <v>28</v>
      </c>
      <c r="F449" s="4" t="s">
        <v>189</v>
      </c>
      <c r="G449" s="6">
        <v>45</v>
      </c>
      <c r="H449" t="s">
        <v>52</v>
      </c>
      <c r="I449" t="s">
        <v>53</v>
      </c>
      <c r="J449">
        <v>13</v>
      </c>
      <c r="K449" t="s">
        <v>40</v>
      </c>
      <c r="L449" t="s">
        <v>38</v>
      </c>
      <c r="M449" s="8">
        <v>1340.6</v>
      </c>
      <c r="N449" s="6">
        <v>6</v>
      </c>
      <c r="O449" s="8">
        <f t="shared" si="23"/>
        <v>8043.5999999999995</v>
      </c>
      <c r="P449" t="s">
        <v>221</v>
      </c>
    </row>
    <row r="450" spans="1:16" x14ac:dyDescent="0.3">
      <c r="A450" s="6">
        <v>449</v>
      </c>
      <c r="B450" s="37">
        <v>45746</v>
      </c>
      <c r="C450" s="2" t="str">
        <f t="shared" ref="C450:C501" si="24">TEXT(B450,"mmm")</f>
        <v>Mar</v>
      </c>
      <c r="D450" s="6">
        <f t="shared" ref="D450:D501" si="25">YEAR(B450)</f>
        <v>2025</v>
      </c>
      <c r="E450" s="6">
        <v>84</v>
      </c>
      <c r="F450" s="4" t="s">
        <v>182</v>
      </c>
      <c r="G450" s="6">
        <v>45</v>
      </c>
      <c r="H450" t="s">
        <v>32</v>
      </c>
      <c r="I450" t="s">
        <v>33</v>
      </c>
      <c r="J450">
        <v>7</v>
      </c>
      <c r="K450" t="s">
        <v>80</v>
      </c>
      <c r="L450" t="s">
        <v>71</v>
      </c>
      <c r="M450" s="8">
        <v>869.87</v>
      </c>
      <c r="N450" s="6">
        <v>1</v>
      </c>
      <c r="O450" s="8">
        <f t="shared" ref="O450:O501" si="26">M450*N450</f>
        <v>869.87</v>
      </c>
      <c r="P450" t="s">
        <v>222</v>
      </c>
    </row>
    <row r="451" spans="1:16" x14ac:dyDescent="0.3">
      <c r="A451" s="6">
        <v>450</v>
      </c>
      <c r="B451" s="37">
        <v>45374</v>
      </c>
      <c r="C451" s="2" t="str">
        <f t="shared" si="24"/>
        <v>Mar</v>
      </c>
      <c r="D451" s="6">
        <f t="shared" si="25"/>
        <v>2024</v>
      </c>
      <c r="E451" s="6">
        <v>23</v>
      </c>
      <c r="F451" s="4" t="s">
        <v>133</v>
      </c>
      <c r="G451" s="6">
        <v>49</v>
      </c>
      <c r="H451" t="s">
        <v>16</v>
      </c>
      <c r="I451" t="s">
        <v>17</v>
      </c>
      <c r="J451">
        <v>27</v>
      </c>
      <c r="K451" t="s">
        <v>24</v>
      </c>
      <c r="L451" t="s">
        <v>25</v>
      </c>
      <c r="M451" s="8">
        <v>845</v>
      </c>
      <c r="N451" s="6">
        <v>3</v>
      </c>
      <c r="O451" s="8">
        <f t="shared" si="26"/>
        <v>2535</v>
      </c>
      <c r="P451" t="s">
        <v>220</v>
      </c>
    </row>
    <row r="452" spans="1:16" x14ac:dyDescent="0.3">
      <c r="A452" s="6">
        <v>451</v>
      </c>
      <c r="B452" s="37">
        <v>45914</v>
      </c>
      <c r="C452" s="2" t="str">
        <f t="shared" si="24"/>
        <v>Sept</v>
      </c>
      <c r="D452" s="6">
        <f t="shared" si="25"/>
        <v>2025</v>
      </c>
      <c r="E452" s="6">
        <v>115</v>
      </c>
      <c r="F452" s="4" t="s">
        <v>161</v>
      </c>
      <c r="G452" s="6">
        <v>68</v>
      </c>
      <c r="H452" t="s">
        <v>22</v>
      </c>
      <c r="I452" t="s">
        <v>23</v>
      </c>
      <c r="J452">
        <v>12</v>
      </c>
      <c r="K452" t="s">
        <v>37</v>
      </c>
      <c r="L452" t="s">
        <v>38</v>
      </c>
      <c r="M452" s="8">
        <v>1036.1199999999999</v>
      </c>
      <c r="N452" s="6">
        <v>2</v>
      </c>
      <c r="O452" s="8">
        <f t="shared" si="26"/>
        <v>2072.2399999999998</v>
      </c>
      <c r="P452" t="s">
        <v>221</v>
      </c>
    </row>
    <row r="453" spans="1:16" x14ac:dyDescent="0.3">
      <c r="A453" s="6">
        <v>452</v>
      </c>
      <c r="B453" s="37">
        <v>45359</v>
      </c>
      <c r="C453" s="2" t="str">
        <f t="shared" si="24"/>
        <v>Mar</v>
      </c>
      <c r="D453" s="6">
        <f t="shared" si="25"/>
        <v>2024</v>
      </c>
      <c r="E453" s="6">
        <v>104</v>
      </c>
      <c r="F453" s="4" t="s">
        <v>107</v>
      </c>
      <c r="G453" s="6">
        <v>56</v>
      </c>
      <c r="H453" t="s">
        <v>22</v>
      </c>
      <c r="I453" t="s">
        <v>23</v>
      </c>
      <c r="J453">
        <v>12</v>
      </c>
      <c r="K453" t="s">
        <v>37</v>
      </c>
      <c r="L453" t="s">
        <v>38</v>
      </c>
      <c r="M453" s="8">
        <v>1036.1199999999999</v>
      </c>
      <c r="N453" s="6">
        <v>2</v>
      </c>
      <c r="O453" s="8">
        <f t="shared" si="26"/>
        <v>2072.2399999999998</v>
      </c>
      <c r="P453" t="s">
        <v>221</v>
      </c>
    </row>
    <row r="454" spans="1:16" x14ac:dyDescent="0.3">
      <c r="A454" s="6">
        <v>453</v>
      </c>
      <c r="B454" s="37">
        <v>45573</v>
      </c>
      <c r="C454" s="2" t="str">
        <f t="shared" si="24"/>
        <v>Oct</v>
      </c>
      <c r="D454" s="6">
        <f t="shared" si="25"/>
        <v>2024</v>
      </c>
      <c r="E454" s="6">
        <v>30</v>
      </c>
      <c r="F454" s="4" t="s">
        <v>135</v>
      </c>
      <c r="G454" s="6">
        <v>61</v>
      </c>
      <c r="H454" t="s">
        <v>22</v>
      </c>
      <c r="I454" t="s">
        <v>23</v>
      </c>
      <c r="J454">
        <v>22</v>
      </c>
      <c r="K454" t="s">
        <v>85</v>
      </c>
      <c r="L454" t="s">
        <v>19</v>
      </c>
      <c r="M454" s="8">
        <v>1377.44</v>
      </c>
      <c r="N454" s="6">
        <v>5</v>
      </c>
      <c r="O454" s="8">
        <f t="shared" si="26"/>
        <v>6887.2000000000007</v>
      </c>
      <c r="P454" t="s">
        <v>220</v>
      </c>
    </row>
    <row r="455" spans="1:16" x14ac:dyDescent="0.3">
      <c r="A455" s="6">
        <v>454</v>
      </c>
      <c r="B455" s="37">
        <v>45940</v>
      </c>
      <c r="C455" s="2" t="str">
        <f t="shared" si="24"/>
        <v>Oct</v>
      </c>
      <c r="D455" s="6">
        <f t="shared" si="25"/>
        <v>2025</v>
      </c>
      <c r="E455" s="6">
        <v>76</v>
      </c>
      <c r="F455" s="4" t="s">
        <v>166</v>
      </c>
      <c r="G455" s="6">
        <v>22</v>
      </c>
      <c r="H455" t="s">
        <v>22</v>
      </c>
      <c r="I455" t="s">
        <v>23</v>
      </c>
      <c r="J455">
        <v>9</v>
      </c>
      <c r="K455" t="s">
        <v>76</v>
      </c>
      <c r="L455" t="s">
        <v>71</v>
      </c>
      <c r="M455" s="8">
        <v>585.21</v>
      </c>
      <c r="N455" s="6">
        <v>5</v>
      </c>
      <c r="O455" s="8">
        <f t="shared" si="26"/>
        <v>2926.05</v>
      </c>
      <c r="P455" t="s">
        <v>219</v>
      </c>
    </row>
    <row r="456" spans="1:16" x14ac:dyDescent="0.3">
      <c r="A456" s="6">
        <v>455</v>
      </c>
      <c r="B456" s="37">
        <v>45853</v>
      </c>
      <c r="C456" s="2" t="str">
        <f t="shared" si="24"/>
        <v>Jul</v>
      </c>
      <c r="D456" s="6">
        <f t="shared" si="25"/>
        <v>2025</v>
      </c>
      <c r="E456" s="6">
        <v>61</v>
      </c>
      <c r="F456" s="4" t="s">
        <v>146</v>
      </c>
      <c r="G456" s="6">
        <v>43</v>
      </c>
      <c r="H456" t="s">
        <v>52</v>
      </c>
      <c r="I456" t="s">
        <v>53</v>
      </c>
      <c r="J456">
        <v>3</v>
      </c>
      <c r="K456" t="s">
        <v>28</v>
      </c>
      <c r="L456" t="s">
        <v>29</v>
      </c>
      <c r="M456" s="8">
        <v>922.74</v>
      </c>
      <c r="N456" s="6">
        <v>6</v>
      </c>
      <c r="O456" s="8">
        <f t="shared" si="26"/>
        <v>5536.4400000000005</v>
      </c>
      <c r="P456" t="s">
        <v>219</v>
      </c>
    </row>
    <row r="457" spans="1:16" x14ac:dyDescent="0.3">
      <c r="A457" s="6">
        <v>456</v>
      </c>
      <c r="B457" s="37">
        <v>45624</v>
      </c>
      <c r="C457" s="2" t="str">
        <f t="shared" si="24"/>
        <v>Nov</v>
      </c>
      <c r="D457" s="6">
        <f t="shared" si="25"/>
        <v>2024</v>
      </c>
      <c r="E457" s="6">
        <v>1</v>
      </c>
      <c r="F457" s="4" t="s">
        <v>140</v>
      </c>
      <c r="G457" s="6">
        <v>35</v>
      </c>
      <c r="H457" t="s">
        <v>59</v>
      </c>
      <c r="I457" t="s">
        <v>33</v>
      </c>
      <c r="J457">
        <v>2</v>
      </c>
      <c r="K457" t="s">
        <v>34</v>
      </c>
      <c r="L457" t="s">
        <v>29</v>
      </c>
      <c r="M457" s="8">
        <v>1476.14</v>
      </c>
      <c r="N457" s="6">
        <v>4</v>
      </c>
      <c r="O457" s="8">
        <f t="shared" si="26"/>
        <v>5904.56</v>
      </c>
      <c r="P457" t="s">
        <v>220</v>
      </c>
    </row>
    <row r="458" spans="1:16" x14ac:dyDescent="0.3">
      <c r="A458" s="6">
        <v>457</v>
      </c>
      <c r="B458" s="37">
        <v>45903</v>
      </c>
      <c r="C458" s="2" t="str">
        <f t="shared" si="24"/>
        <v>Sept</v>
      </c>
      <c r="D458" s="6">
        <f t="shared" si="25"/>
        <v>2025</v>
      </c>
      <c r="E458" s="6">
        <v>61</v>
      </c>
      <c r="F458" s="4" t="s">
        <v>146</v>
      </c>
      <c r="G458" s="6">
        <v>43</v>
      </c>
      <c r="H458" t="s">
        <v>52</v>
      </c>
      <c r="I458" t="s">
        <v>53</v>
      </c>
      <c r="J458">
        <v>8</v>
      </c>
      <c r="K458" t="s">
        <v>78</v>
      </c>
      <c r="L458" t="s">
        <v>71</v>
      </c>
      <c r="M458" s="8">
        <v>1081.74</v>
      </c>
      <c r="N458" s="6">
        <v>5</v>
      </c>
      <c r="O458" s="8">
        <f t="shared" si="26"/>
        <v>5408.7</v>
      </c>
      <c r="P458" t="s">
        <v>221</v>
      </c>
    </row>
    <row r="459" spans="1:16" x14ac:dyDescent="0.3">
      <c r="A459" s="6">
        <v>458</v>
      </c>
      <c r="B459" s="37">
        <v>45593</v>
      </c>
      <c r="C459" s="2" t="str">
        <f t="shared" si="24"/>
        <v>Oct</v>
      </c>
      <c r="D459" s="6">
        <f t="shared" si="25"/>
        <v>2024</v>
      </c>
      <c r="E459" s="6">
        <v>106</v>
      </c>
      <c r="F459" s="4" t="s">
        <v>151</v>
      </c>
      <c r="G459" s="6">
        <v>30</v>
      </c>
      <c r="H459" t="s">
        <v>59</v>
      </c>
      <c r="I459" t="s">
        <v>33</v>
      </c>
      <c r="J459">
        <v>19</v>
      </c>
      <c r="K459" t="s">
        <v>84</v>
      </c>
      <c r="L459" t="s">
        <v>43</v>
      </c>
      <c r="M459" s="8">
        <v>1048.43</v>
      </c>
      <c r="N459" s="6">
        <v>4</v>
      </c>
      <c r="O459" s="8">
        <f t="shared" si="26"/>
        <v>4193.72</v>
      </c>
      <c r="P459" t="s">
        <v>221</v>
      </c>
    </row>
    <row r="460" spans="1:16" x14ac:dyDescent="0.3">
      <c r="A460" s="6">
        <v>459</v>
      </c>
      <c r="B460" s="37">
        <v>45809</v>
      </c>
      <c r="C460" s="2" t="str">
        <f t="shared" si="24"/>
        <v>Jun</v>
      </c>
      <c r="D460" s="6">
        <f t="shared" si="25"/>
        <v>2025</v>
      </c>
      <c r="E460" s="6">
        <v>72</v>
      </c>
      <c r="F460" s="4" t="s">
        <v>109</v>
      </c>
      <c r="G460" s="6">
        <v>43</v>
      </c>
      <c r="H460" t="s">
        <v>16</v>
      </c>
      <c r="I460" t="s">
        <v>17</v>
      </c>
      <c r="J460">
        <v>13</v>
      </c>
      <c r="K460" t="s">
        <v>40</v>
      </c>
      <c r="L460" t="s">
        <v>38</v>
      </c>
      <c r="M460" s="8">
        <v>1340.6</v>
      </c>
      <c r="N460" s="6">
        <v>5</v>
      </c>
      <c r="O460" s="8">
        <f t="shared" si="26"/>
        <v>6703</v>
      </c>
      <c r="P460" t="s">
        <v>220</v>
      </c>
    </row>
    <row r="461" spans="1:16" x14ac:dyDescent="0.3">
      <c r="A461" s="6">
        <v>460</v>
      </c>
      <c r="B461" s="37">
        <v>45732</v>
      </c>
      <c r="C461" s="2" t="str">
        <f t="shared" si="24"/>
        <v>Mar</v>
      </c>
      <c r="D461" s="6">
        <f t="shared" si="25"/>
        <v>2025</v>
      </c>
      <c r="E461" s="6">
        <v>32</v>
      </c>
      <c r="F461" s="4" t="s">
        <v>116</v>
      </c>
      <c r="G461" s="6">
        <v>45</v>
      </c>
      <c r="H461" t="s">
        <v>16</v>
      </c>
      <c r="I461" t="s">
        <v>17</v>
      </c>
      <c r="J461">
        <v>9</v>
      </c>
      <c r="K461" t="s">
        <v>76</v>
      </c>
      <c r="L461" t="s">
        <v>71</v>
      </c>
      <c r="M461" s="8">
        <v>585.21</v>
      </c>
      <c r="N461" s="6">
        <v>1</v>
      </c>
      <c r="O461" s="8">
        <f t="shared" si="26"/>
        <v>585.21</v>
      </c>
      <c r="P461" t="s">
        <v>221</v>
      </c>
    </row>
    <row r="462" spans="1:16" x14ac:dyDescent="0.3">
      <c r="A462" s="6">
        <v>461</v>
      </c>
      <c r="B462" s="37">
        <v>46010</v>
      </c>
      <c r="C462" s="2" t="str">
        <f t="shared" si="24"/>
        <v>Dec</v>
      </c>
      <c r="D462" s="6">
        <f t="shared" si="25"/>
        <v>2025</v>
      </c>
      <c r="E462" s="6">
        <v>80</v>
      </c>
      <c r="F462" s="4" t="s">
        <v>125</v>
      </c>
      <c r="G462" s="6">
        <v>24</v>
      </c>
      <c r="H462" t="s">
        <v>52</v>
      </c>
      <c r="I462" t="s">
        <v>53</v>
      </c>
      <c r="J462">
        <v>19</v>
      </c>
      <c r="K462" t="s">
        <v>84</v>
      </c>
      <c r="L462" t="s">
        <v>43</v>
      </c>
      <c r="M462" s="8">
        <v>1048.43</v>
      </c>
      <c r="N462" s="6">
        <v>1</v>
      </c>
      <c r="O462" s="8">
        <f t="shared" si="26"/>
        <v>1048.43</v>
      </c>
      <c r="P462" t="s">
        <v>222</v>
      </c>
    </row>
    <row r="463" spans="1:16" x14ac:dyDescent="0.3">
      <c r="A463" s="6">
        <v>462</v>
      </c>
      <c r="B463" s="37">
        <v>45962</v>
      </c>
      <c r="C463" s="2" t="str">
        <f t="shared" si="24"/>
        <v>Nov</v>
      </c>
      <c r="D463" s="6">
        <f t="shared" si="25"/>
        <v>2025</v>
      </c>
      <c r="E463" s="6">
        <v>4</v>
      </c>
      <c r="F463" s="4" t="s">
        <v>129</v>
      </c>
      <c r="G463" s="6">
        <v>50</v>
      </c>
      <c r="H463" t="s">
        <v>59</v>
      </c>
      <c r="I463" t="s">
        <v>33</v>
      </c>
      <c r="J463">
        <v>29</v>
      </c>
      <c r="K463" t="s">
        <v>65</v>
      </c>
      <c r="L463" t="s">
        <v>25</v>
      </c>
      <c r="M463" s="8">
        <v>1136.55</v>
      </c>
      <c r="N463" s="6">
        <v>6</v>
      </c>
      <c r="O463" s="8">
        <f t="shared" si="26"/>
        <v>6819.2999999999993</v>
      </c>
      <c r="P463" t="s">
        <v>219</v>
      </c>
    </row>
    <row r="464" spans="1:16" x14ac:dyDescent="0.3">
      <c r="A464" s="6">
        <v>463</v>
      </c>
      <c r="B464" s="37">
        <v>45856</v>
      </c>
      <c r="C464" s="2" t="str">
        <f t="shared" si="24"/>
        <v>Jul</v>
      </c>
      <c r="D464" s="6">
        <f t="shared" si="25"/>
        <v>2025</v>
      </c>
      <c r="E464" s="6">
        <v>20</v>
      </c>
      <c r="F464" s="4" t="s">
        <v>188</v>
      </c>
      <c r="G464" s="6">
        <v>67</v>
      </c>
      <c r="H464" t="s">
        <v>49</v>
      </c>
      <c r="I464" t="s">
        <v>50</v>
      </c>
      <c r="J464">
        <v>4</v>
      </c>
      <c r="K464" t="s">
        <v>48</v>
      </c>
      <c r="L464" t="s">
        <v>29</v>
      </c>
      <c r="M464" s="8">
        <v>1156.21</v>
      </c>
      <c r="N464" s="6">
        <v>6</v>
      </c>
      <c r="O464" s="8">
        <f t="shared" si="26"/>
        <v>6937.26</v>
      </c>
      <c r="P464" t="s">
        <v>220</v>
      </c>
    </row>
    <row r="465" spans="1:16" x14ac:dyDescent="0.3">
      <c r="A465" s="6">
        <v>464</v>
      </c>
      <c r="B465" s="37">
        <v>45512</v>
      </c>
      <c r="C465" s="2" t="str">
        <f t="shared" si="24"/>
        <v>Aug</v>
      </c>
      <c r="D465" s="6">
        <f t="shared" si="25"/>
        <v>2024</v>
      </c>
      <c r="E465" s="6">
        <v>29</v>
      </c>
      <c r="F465" s="4" t="s">
        <v>124</v>
      </c>
      <c r="G465" s="6">
        <v>56</v>
      </c>
      <c r="H465" t="s">
        <v>59</v>
      </c>
      <c r="I465" t="s">
        <v>33</v>
      </c>
      <c r="J465">
        <v>30</v>
      </c>
      <c r="K465" t="s">
        <v>73</v>
      </c>
      <c r="L465" t="s">
        <v>25</v>
      </c>
      <c r="M465" s="8">
        <v>672.22</v>
      </c>
      <c r="N465" s="6">
        <v>4</v>
      </c>
      <c r="O465" s="8">
        <f t="shared" si="26"/>
        <v>2688.88</v>
      </c>
      <c r="P465" t="s">
        <v>220</v>
      </c>
    </row>
    <row r="466" spans="1:16" x14ac:dyDescent="0.3">
      <c r="A466" s="6">
        <v>465</v>
      </c>
      <c r="B466" s="37">
        <v>45754</v>
      </c>
      <c r="C466" s="2" t="str">
        <f t="shared" si="24"/>
        <v>Apr</v>
      </c>
      <c r="D466" s="6">
        <f t="shared" si="25"/>
        <v>2025</v>
      </c>
      <c r="E466" s="6">
        <v>31</v>
      </c>
      <c r="F466" s="4" t="s">
        <v>152</v>
      </c>
      <c r="G466" s="6">
        <v>66</v>
      </c>
      <c r="H466" t="s">
        <v>59</v>
      </c>
      <c r="I466" t="s">
        <v>33</v>
      </c>
      <c r="J466">
        <v>16</v>
      </c>
      <c r="K466" t="s">
        <v>64</v>
      </c>
      <c r="L466" t="s">
        <v>43</v>
      </c>
      <c r="M466" s="8">
        <v>1170.95</v>
      </c>
      <c r="N466" s="6">
        <v>2</v>
      </c>
      <c r="O466" s="8">
        <f t="shared" si="26"/>
        <v>2341.9</v>
      </c>
      <c r="P466" t="s">
        <v>219</v>
      </c>
    </row>
    <row r="467" spans="1:16" x14ac:dyDescent="0.3">
      <c r="A467" s="6">
        <v>466</v>
      </c>
      <c r="B467" s="37">
        <v>45715</v>
      </c>
      <c r="C467" s="2" t="str">
        <f t="shared" si="24"/>
        <v>Feb</v>
      </c>
      <c r="D467" s="6">
        <f t="shared" si="25"/>
        <v>2025</v>
      </c>
      <c r="E467" s="6">
        <v>20</v>
      </c>
      <c r="F467" s="4" t="s">
        <v>188</v>
      </c>
      <c r="G467" s="6">
        <v>67</v>
      </c>
      <c r="H467" t="s">
        <v>49</v>
      </c>
      <c r="I467" t="s">
        <v>50</v>
      </c>
      <c r="J467">
        <v>30</v>
      </c>
      <c r="K467" t="s">
        <v>73</v>
      </c>
      <c r="L467" t="s">
        <v>25</v>
      </c>
      <c r="M467" s="8">
        <v>672.22</v>
      </c>
      <c r="N467" s="6">
        <v>3</v>
      </c>
      <c r="O467" s="8">
        <f t="shared" si="26"/>
        <v>2016.66</v>
      </c>
      <c r="P467" t="s">
        <v>219</v>
      </c>
    </row>
    <row r="468" spans="1:16" x14ac:dyDescent="0.3">
      <c r="A468" s="6">
        <v>467</v>
      </c>
      <c r="B468" s="37">
        <v>45756</v>
      </c>
      <c r="C468" s="2" t="str">
        <f t="shared" si="24"/>
        <v>Apr</v>
      </c>
      <c r="D468" s="6">
        <f t="shared" si="25"/>
        <v>2025</v>
      </c>
      <c r="E468" s="6">
        <v>58</v>
      </c>
      <c r="F468" s="4" t="s">
        <v>114</v>
      </c>
      <c r="G468" s="6">
        <v>46</v>
      </c>
      <c r="H468" t="s">
        <v>52</v>
      </c>
      <c r="I468" t="s">
        <v>53</v>
      </c>
      <c r="J468">
        <v>25</v>
      </c>
      <c r="K468" t="s">
        <v>61</v>
      </c>
      <c r="L468" t="s">
        <v>19</v>
      </c>
      <c r="M468" s="8">
        <v>705</v>
      </c>
      <c r="N468" s="6">
        <v>4</v>
      </c>
      <c r="O468" s="8">
        <f t="shared" si="26"/>
        <v>2820</v>
      </c>
      <c r="P468" t="s">
        <v>222</v>
      </c>
    </row>
    <row r="469" spans="1:16" x14ac:dyDescent="0.3">
      <c r="A469" s="6">
        <v>468</v>
      </c>
      <c r="B469" s="37">
        <v>45717</v>
      </c>
      <c r="C469" s="2" t="str">
        <f t="shared" si="24"/>
        <v>Mar</v>
      </c>
      <c r="D469" s="6">
        <f t="shared" si="25"/>
        <v>2025</v>
      </c>
      <c r="E469" s="6">
        <v>113</v>
      </c>
      <c r="F469" s="4" t="s">
        <v>111</v>
      </c>
      <c r="G469" s="6">
        <v>29</v>
      </c>
      <c r="H469" t="s">
        <v>32</v>
      </c>
      <c r="I469" t="s">
        <v>33</v>
      </c>
      <c r="J469">
        <v>20</v>
      </c>
      <c r="K469" t="s">
        <v>58</v>
      </c>
      <c r="L469" t="s">
        <v>43</v>
      </c>
      <c r="M469" s="8">
        <v>704.86</v>
      </c>
      <c r="N469" s="6">
        <v>6</v>
      </c>
      <c r="O469" s="8">
        <f t="shared" si="26"/>
        <v>4229.16</v>
      </c>
      <c r="P469" t="s">
        <v>220</v>
      </c>
    </row>
    <row r="470" spans="1:16" x14ac:dyDescent="0.3">
      <c r="A470" s="6">
        <v>469</v>
      </c>
      <c r="B470" s="37">
        <v>45389</v>
      </c>
      <c r="C470" s="2" t="str">
        <f t="shared" si="24"/>
        <v>Apr</v>
      </c>
      <c r="D470" s="6">
        <f t="shared" si="25"/>
        <v>2024</v>
      </c>
      <c r="E470" s="6">
        <v>22</v>
      </c>
      <c r="F470" s="4" t="s">
        <v>125</v>
      </c>
      <c r="G470" s="6">
        <v>31</v>
      </c>
      <c r="H470" t="s">
        <v>32</v>
      </c>
      <c r="I470" t="s">
        <v>33</v>
      </c>
      <c r="J470">
        <v>22</v>
      </c>
      <c r="K470" t="s">
        <v>85</v>
      </c>
      <c r="L470" t="s">
        <v>19</v>
      </c>
      <c r="M470" s="8">
        <v>1377.44</v>
      </c>
      <c r="N470" s="6">
        <v>3</v>
      </c>
      <c r="O470" s="8">
        <f t="shared" si="26"/>
        <v>4132.32</v>
      </c>
      <c r="P470" t="s">
        <v>220</v>
      </c>
    </row>
    <row r="471" spans="1:16" x14ac:dyDescent="0.3">
      <c r="A471" s="6">
        <v>470</v>
      </c>
      <c r="B471" s="37">
        <v>45729</v>
      </c>
      <c r="C471" s="2" t="str">
        <f t="shared" si="24"/>
        <v>Mar</v>
      </c>
      <c r="D471" s="6">
        <f t="shared" si="25"/>
        <v>2025</v>
      </c>
      <c r="E471" s="6">
        <v>19</v>
      </c>
      <c r="F471" s="4" t="s">
        <v>169</v>
      </c>
      <c r="G471" s="6">
        <v>42</v>
      </c>
      <c r="H471" t="s">
        <v>49</v>
      </c>
      <c r="I471" t="s">
        <v>50</v>
      </c>
      <c r="J471">
        <v>10</v>
      </c>
      <c r="K471" t="s">
        <v>70</v>
      </c>
      <c r="L471" t="s">
        <v>71</v>
      </c>
      <c r="M471" s="8">
        <v>608.48</v>
      </c>
      <c r="N471" s="6">
        <v>3</v>
      </c>
      <c r="O471" s="8">
        <f t="shared" si="26"/>
        <v>1825.44</v>
      </c>
      <c r="P471" t="s">
        <v>220</v>
      </c>
    </row>
    <row r="472" spans="1:16" x14ac:dyDescent="0.3">
      <c r="A472" s="6">
        <v>471</v>
      </c>
      <c r="B472" s="37">
        <v>45973</v>
      </c>
      <c r="C472" s="2" t="str">
        <f t="shared" si="24"/>
        <v>Nov</v>
      </c>
      <c r="D472" s="6">
        <f t="shared" si="25"/>
        <v>2025</v>
      </c>
      <c r="E472" s="6">
        <v>47</v>
      </c>
      <c r="F472" s="4" t="s">
        <v>165</v>
      </c>
      <c r="G472" s="6">
        <v>18</v>
      </c>
      <c r="H472" t="s">
        <v>49</v>
      </c>
      <c r="I472" t="s">
        <v>50</v>
      </c>
      <c r="J472">
        <v>4</v>
      </c>
      <c r="K472" t="s">
        <v>48</v>
      </c>
      <c r="L472" t="s">
        <v>29</v>
      </c>
      <c r="M472" s="8">
        <v>1156.21</v>
      </c>
      <c r="N472" s="6">
        <v>3</v>
      </c>
      <c r="O472" s="8">
        <f t="shared" si="26"/>
        <v>3468.63</v>
      </c>
      <c r="P472" t="s">
        <v>221</v>
      </c>
    </row>
    <row r="473" spans="1:16" x14ac:dyDescent="0.3">
      <c r="A473" s="6">
        <v>472</v>
      </c>
      <c r="B473" s="37">
        <v>45675</v>
      </c>
      <c r="C473" s="2" t="str">
        <f t="shared" si="24"/>
        <v>Jan</v>
      </c>
      <c r="D473" s="6">
        <f t="shared" si="25"/>
        <v>2025</v>
      </c>
      <c r="E473" s="6">
        <v>76</v>
      </c>
      <c r="F473" s="4" t="s">
        <v>166</v>
      </c>
      <c r="G473" s="6">
        <v>22</v>
      </c>
      <c r="H473" t="s">
        <v>22</v>
      </c>
      <c r="I473" t="s">
        <v>23</v>
      </c>
      <c r="J473">
        <v>5</v>
      </c>
      <c r="K473" t="s">
        <v>82</v>
      </c>
      <c r="L473" t="s">
        <v>29</v>
      </c>
      <c r="M473" s="8">
        <v>691.29</v>
      </c>
      <c r="N473" s="6">
        <v>2</v>
      </c>
      <c r="O473" s="8">
        <f t="shared" si="26"/>
        <v>1382.58</v>
      </c>
      <c r="P473" t="s">
        <v>221</v>
      </c>
    </row>
    <row r="474" spans="1:16" x14ac:dyDescent="0.3">
      <c r="A474" s="6">
        <v>473</v>
      </c>
      <c r="B474" s="37">
        <v>45995</v>
      </c>
      <c r="C474" s="2" t="str">
        <f t="shared" si="24"/>
        <v>Dec</v>
      </c>
      <c r="D474" s="6">
        <f t="shared" si="25"/>
        <v>2025</v>
      </c>
      <c r="E474" s="6">
        <v>99</v>
      </c>
      <c r="F474" s="4" t="s">
        <v>154</v>
      </c>
      <c r="G474" s="6">
        <v>40</v>
      </c>
      <c r="H474" t="s">
        <v>49</v>
      </c>
      <c r="I474" t="s">
        <v>50</v>
      </c>
      <c r="J474">
        <v>1</v>
      </c>
      <c r="K474" t="s">
        <v>69</v>
      </c>
      <c r="L474" t="s">
        <v>29</v>
      </c>
      <c r="M474" s="8">
        <v>83.63</v>
      </c>
      <c r="N474" s="6">
        <v>4</v>
      </c>
      <c r="O474" s="8">
        <f t="shared" si="26"/>
        <v>334.52</v>
      </c>
      <c r="P474" t="s">
        <v>219</v>
      </c>
    </row>
    <row r="475" spans="1:16" x14ac:dyDescent="0.3">
      <c r="A475" s="6">
        <v>474</v>
      </c>
      <c r="B475" s="37">
        <v>45360</v>
      </c>
      <c r="C475" s="2" t="str">
        <f t="shared" si="24"/>
        <v>Mar</v>
      </c>
      <c r="D475" s="6">
        <f t="shared" si="25"/>
        <v>2024</v>
      </c>
      <c r="E475" s="6">
        <v>26</v>
      </c>
      <c r="F475" s="4" t="s">
        <v>168</v>
      </c>
      <c r="G475" s="6">
        <v>26</v>
      </c>
      <c r="H475" t="s">
        <v>32</v>
      </c>
      <c r="I475" t="s">
        <v>33</v>
      </c>
      <c r="J475">
        <v>4</v>
      </c>
      <c r="K475" t="s">
        <v>48</v>
      </c>
      <c r="L475" t="s">
        <v>29</v>
      </c>
      <c r="M475" s="8">
        <v>1156.21</v>
      </c>
      <c r="N475" s="6">
        <v>1</v>
      </c>
      <c r="O475" s="8">
        <f t="shared" si="26"/>
        <v>1156.21</v>
      </c>
      <c r="P475" t="s">
        <v>221</v>
      </c>
    </row>
    <row r="476" spans="1:16" x14ac:dyDescent="0.3">
      <c r="A476" s="6">
        <v>475</v>
      </c>
      <c r="B476" s="37">
        <v>45379</v>
      </c>
      <c r="C476" s="2" t="str">
        <f t="shared" si="24"/>
        <v>Mar</v>
      </c>
      <c r="D476" s="6">
        <f t="shared" si="25"/>
        <v>2024</v>
      </c>
      <c r="E476" s="6">
        <v>81</v>
      </c>
      <c r="F476" s="4" t="s">
        <v>147</v>
      </c>
      <c r="G476" s="6">
        <v>56</v>
      </c>
      <c r="H476" t="s">
        <v>52</v>
      </c>
      <c r="I476" t="s">
        <v>53</v>
      </c>
      <c r="J476">
        <v>13</v>
      </c>
      <c r="K476" t="s">
        <v>40</v>
      </c>
      <c r="L476" t="s">
        <v>38</v>
      </c>
      <c r="M476" s="8">
        <v>1340.6</v>
      </c>
      <c r="N476" s="6">
        <v>1</v>
      </c>
      <c r="O476" s="8">
        <f t="shared" si="26"/>
        <v>1340.6</v>
      </c>
      <c r="P476" t="s">
        <v>219</v>
      </c>
    </row>
    <row r="477" spans="1:16" x14ac:dyDescent="0.3">
      <c r="A477" s="6">
        <v>476</v>
      </c>
      <c r="B477" s="37">
        <v>45734</v>
      </c>
      <c r="C477" s="2" t="str">
        <f t="shared" si="24"/>
        <v>Mar</v>
      </c>
      <c r="D477" s="6">
        <f t="shared" si="25"/>
        <v>2025</v>
      </c>
      <c r="E477" s="6">
        <v>114</v>
      </c>
      <c r="F477" s="4" t="s">
        <v>127</v>
      </c>
      <c r="G477" s="6">
        <v>18</v>
      </c>
      <c r="H477" t="s">
        <v>22</v>
      </c>
      <c r="I477" t="s">
        <v>23</v>
      </c>
      <c r="J477">
        <v>23</v>
      </c>
      <c r="K477" t="s">
        <v>18</v>
      </c>
      <c r="L477" t="s">
        <v>19</v>
      </c>
      <c r="M477" s="8">
        <v>195.22</v>
      </c>
      <c r="N477" s="6">
        <v>1</v>
      </c>
      <c r="O477" s="8">
        <f t="shared" si="26"/>
        <v>195.22</v>
      </c>
      <c r="P477" t="s">
        <v>219</v>
      </c>
    </row>
    <row r="478" spans="1:16" x14ac:dyDescent="0.3">
      <c r="A478" s="6">
        <v>477</v>
      </c>
      <c r="B478" s="37">
        <v>45673</v>
      </c>
      <c r="C478" s="2" t="str">
        <f t="shared" si="24"/>
        <v>Jan</v>
      </c>
      <c r="D478" s="6">
        <f t="shared" si="25"/>
        <v>2025</v>
      </c>
      <c r="E478" s="6">
        <v>6</v>
      </c>
      <c r="F478" s="4" t="s">
        <v>153</v>
      </c>
      <c r="G478" s="6">
        <v>55</v>
      </c>
      <c r="H478" t="s">
        <v>32</v>
      </c>
      <c r="I478" t="s">
        <v>33</v>
      </c>
      <c r="J478">
        <v>4</v>
      </c>
      <c r="K478" t="s">
        <v>48</v>
      </c>
      <c r="L478" t="s">
        <v>29</v>
      </c>
      <c r="M478" s="8">
        <v>1156.21</v>
      </c>
      <c r="N478" s="6">
        <v>2</v>
      </c>
      <c r="O478" s="8">
        <f t="shared" si="26"/>
        <v>2312.42</v>
      </c>
      <c r="P478" t="s">
        <v>220</v>
      </c>
    </row>
    <row r="479" spans="1:16" x14ac:dyDescent="0.3">
      <c r="A479" s="6">
        <v>478</v>
      </c>
      <c r="B479" s="37">
        <v>45861</v>
      </c>
      <c r="C479" s="2" t="str">
        <f t="shared" si="24"/>
        <v>Jul</v>
      </c>
      <c r="D479" s="6">
        <f t="shared" si="25"/>
        <v>2025</v>
      </c>
      <c r="E479" s="6">
        <v>64</v>
      </c>
      <c r="F479" s="4" t="s">
        <v>186</v>
      </c>
      <c r="G479" s="6">
        <v>36</v>
      </c>
      <c r="H479" t="s">
        <v>52</v>
      </c>
      <c r="I479" t="s">
        <v>53</v>
      </c>
      <c r="J479">
        <v>26</v>
      </c>
      <c r="K479" t="s">
        <v>54</v>
      </c>
      <c r="L479" t="s">
        <v>25</v>
      </c>
      <c r="M479" s="8">
        <v>803.73</v>
      </c>
      <c r="N479" s="6">
        <v>1</v>
      </c>
      <c r="O479" s="8">
        <f t="shared" si="26"/>
        <v>803.73</v>
      </c>
      <c r="P479" t="s">
        <v>219</v>
      </c>
    </row>
    <row r="480" spans="1:16" x14ac:dyDescent="0.3">
      <c r="A480" s="6">
        <v>479</v>
      </c>
      <c r="B480" s="37">
        <v>45892</v>
      </c>
      <c r="C480" s="2" t="str">
        <f t="shared" si="24"/>
        <v>Aug</v>
      </c>
      <c r="D480" s="6">
        <f t="shared" si="25"/>
        <v>2025</v>
      </c>
      <c r="E480" s="6">
        <v>85</v>
      </c>
      <c r="F480" s="4" t="s">
        <v>167</v>
      </c>
      <c r="G480" s="6">
        <v>39</v>
      </c>
      <c r="H480" t="s">
        <v>22</v>
      </c>
      <c r="I480" t="s">
        <v>23</v>
      </c>
      <c r="J480">
        <v>20</v>
      </c>
      <c r="K480" t="s">
        <v>58</v>
      </c>
      <c r="L480" t="s">
        <v>43</v>
      </c>
      <c r="M480" s="8">
        <v>704.86</v>
      </c>
      <c r="N480" s="6">
        <v>5</v>
      </c>
      <c r="O480" s="8">
        <f t="shared" si="26"/>
        <v>3524.3</v>
      </c>
      <c r="P480" t="s">
        <v>219</v>
      </c>
    </row>
    <row r="481" spans="1:16" x14ac:dyDescent="0.3">
      <c r="A481" s="6">
        <v>480</v>
      </c>
      <c r="B481" s="37">
        <v>45867</v>
      </c>
      <c r="C481" s="2" t="str">
        <f t="shared" si="24"/>
        <v>Jul</v>
      </c>
      <c r="D481" s="6">
        <f t="shared" si="25"/>
        <v>2025</v>
      </c>
      <c r="E481" s="6">
        <v>5</v>
      </c>
      <c r="F481" s="4" t="s">
        <v>163</v>
      </c>
      <c r="G481" s="6">
        <v>63</v>
      </c>
      <c r="H481" t="s">
        <v>32</v>
      </c>
      <c r="I481" t="s">
        <v>33</v>
      </c>
      <c r="J481">
        <v>24</v>
      </c>
      <c r="K481" t="s">
        <v>45</v>
      </c>
      <c r="L481" t="s">
        <v>19</v>
      </c>
      <c r="M481" s="8">
        <v>213.01</v>
      </c>
      <c r="N481" s="6">
        <v>3</v>
      </c>
      <c r="O481" s="8">
        <f t="shared" si="26"/>
        <v>639.03</v>
      </c>
      <c r="P481" t="s">
        <v>220</v>
      </c>
    </row>
    <row r="482" spans="1:16" x14ac:dyDescent="0.3">
      <c r="A482" s="6">
        <v>481</v>
      </c>
      <c r="B482" s="37">
        <v>45978</v>
      </c>
      <c r="C482" s="2" t="str">
        <f t="shared" si="24"/>
        <v>Nov</v>
      </c>
      <c r="D482" s="6">
        <f t="shared" si="25"/>
        <v>2025</v>
      </c>
      <c r="E482" s="6">
        <v>76</v>
      </c>
      <c r="F482" s="4" t="s">
        <v>166</v>
      </c>
      <c r="G482" s="6">
        <v>22</v>
      </c>
      <c r="H482" t="s">
        <v>22</v>
      </c>
      <c r="I482" t="s">
        <v>23</v>
      </c>
      <c r="J482">
        <v>26</v>
      </c>
      <c r="K482" t="s">
        <v>54</v>
      </c>
      <c r="L482" t="s">
        <v>25</v>
      </c>
      <c r="M482" s="8">
        <v>803.73</v>
      </c>
      <c r="N482" s="6">
        <v>1</v>
      </c>
      <c r="O482" s="8">
        <f t="shared" si="26"/>
        <v>803.73</v>
      </c>
      <c r="P482" t="s">
        <v>222</v>
      </c>
    </row>
    <row r="483" spans="1:16" x14ac:dyDescent="0.3">
      <c r="A483" s="6">
        <v>482</v>
      </c>
      <c r="B483" s="37">
        <v>45712</v>
      </c>
      <c r="C483" s="2" t="str">
        <f t="shared" si="24"/>
        <v>Feb</v>
      </c>
      <c r="D483" s="6">
        <f t="shared" si="25"/>
        <v>2025</v>
      </c>
      <c r="E483" s="6">
        <v>63</v>
      </c>
      <c r="F483" s="4" t="s">
        <v>191</v>
      </c>
      <c r="G483" s="6">
        <v>36</v>
      </c>
      <c r="H483" t="s">
        <v>22</v>
      </c>
      <c r="I483" t="s">
        <v>23</v>
      </c>
      <c r="J483">
        <v>2</v>
      </c>
      <c r="K483" t="s">
        <v>34</v>
      </c>
      <c r="L483" t="s">
        <v>29</v>
      </c>
      <c r="M483" s="8">
        <v>1476.14</v>
      </c>
      <c r="N483" s="6">
        <v>3</v>
      </c>
      <c r="O483" s="8">
        <f t="shared" si="26"/>
        <v>4428.42</v>
      </c>
      <c r="P483" t="s">
        <v>220</v>
      </c>
    </row>
    <row r="484" spans="1:16" x14ac:dyDescent="0.3">
      <c r="A484" s="6">
        <v>483</v>
      </c>
      <c r="B484" s="37">
        <v>45973</v>
      </c>
      <c r="C484" s="2" t="str">
        <f t="shared" si="24"/>
        <v>Nov</v>
      </c>
      <c r="D484" s="6">
        <f t="shared" si="25"/>
        <v>2025</v>
      </c>
      <c r="E484" s="6">
        <v>39</v>
      </c>
      <c r="F484" s="4" t="s">
        <v>178</v>
      </c>
      <c r="G484" s="6">
        <v>49</v>
      </c>
      <c r="H484" t="s">
        <v>59</v>
      </c>
      <c r="I484" t="s">
        <v>33</v>
      </c>
      <c r="J484">
        <v>12</v>
      </c>
      <c r="K484" t="s">
        <v>37</v>
      </c>
      <c r="L484" t="s">
        <v>38</v>
      </c>
      <c r="M484" s="8">
        <v>1036.1199999999999</v>
      </c>
      <c r="N484" s="6">
        <v>4</v>
      </c>
      <c r="O484" s="8">
        <f t="shared" si="26"/>
        <v>4144.4799999999996</v>
      </c>
      <c r="P484" t="s">
        <v>221</v>
      </c>
    </row>
    <row r="485" spans="1:16" x14ac:dyDescent="0.3">
      <c r="A485" s="6">
        <v>484</v>
      </c>
      <c r="B485" s="37">
        <v>45344</v>
      </c>
      <c r="C485" s="2" t="str">
        <f t="shared" si="24"/>
        <v>Feb</v>
      </c>
      <c r="D485" s="6">
        <f t="shared" si="25"/>
        <v>2024</v>
      </c>
      <c r="E485" s="6">
        <v>107</v>
      </c>
      <c r="F485" s="4" t="s">
        <v>180</v>
      </c>
      <c r="G485" s="6">
        <v>18</v>
      </c>
      <c r="H485" t="s">
        <v>32</v>
      </c>
      <c r="I485" t="s">
        <v>33</v>
      </c>
      <c r="J485">
        <v>22</v>
      </c>
      <c r="K485" t="s">
        <v>85</v>
      </c>
      <c r="L485" t="s">
        <v>19</v>
      </c>
      <c r="M485" s="8">
        <v>1377.44</v>
      </c>
      <c r="N485" s="6">
        <v>3</v>
      </c>
      <c r="O485" s="8">
        <f t="shared" si="26"/>
        <v>4132.32</v>
      </c>
      <c r="P485" t="s">
        <v>222</v>
      </c>
    </row>
    <row r="486" spans="1:16" x14ac:dyDescent="0.3">
      <c r="A486" s="6">
        <v>485</v>
      </c>
      <c r="B486" s="37">
        <v>45906</v>
      </c>
      <c r="C486" s="2" t="str">
        <f t="shared" si="24"/>
        <v>Sept</v>
      </c>
      <c r="D486" s="6">
        <f t="shared" si="25"/>
        <v>2025</v>
      </c>
      <c r="E486" s="6">
        <v>105</v>
      </c>
      <c r="F486" s="4" t="s">
        <v>113</v>
      </c>
      <c r="G486" s="6">
        <v>45</v>
      </c>
      <c r="H486" t="s">
        <v>16</v>
      </c>
      <c r="I486" t="s">
        <v>17</v>
      </c>
      <c r="J486">
        <v>9</v>
      </c>
      <c r="K486" t="s">
        <v>76</v>
      </c>
      <c r="L486" t="s">
        <v>71</v>
      </c>
      <c r="M486" s="8">
        <v>585.21</v>
      </c>
      <c r="N486" s="6">
        <v>3</v>
      </c>
      <c r="O486" s="8">
        <f t="shared" si="26"/>
        <v>1755.63</v>
      </c>
      <c r="P486" t="s">
        <v>221</v>
      </c>
    </row>
    <row r="487" spans="1:16" x14ac:dyDescent="0.3">
      <c r="A487" s="6">
        <v>486</v>
      </c>
      <c r="B487" s="37">
        <v>45652</v>
      </c>
      <c r="C487" s="2" t="str">
        <f t="shared" si="24"/>
        <v>Dec</v>
      </c>
      <c r="D487" s="6">
        <f t="shared" si="25"/>
        <v>2024</v>
      </c>
      <c r="E487" s="6">
        <v>106</v>
      </c>
      <c r="F487" s="4" t="s">
        <v>151</v>
      </c>
      <c r="G487" s="6">
        <v>30</v>
      </c>
      <c r="H487" t="s">
        <v>59</v>
      </c>
      <c r="I487" t="s">
        <v>33</v>
      </c>
      <c r="J487">
        <v>2</v>
      </c>
      <c r="K487" t="s">
        <v>34</v>
      </c>
      <c r="L487" t="s">
        <v>29</v>
      </c>
      <c r="M487" s="8">
        <v>1476.14</v>
      </c>
      <c r="N487" s="6">
        <v>1</v>
      </c>
      <c r="O487" s="8">
        <f t="shared" si="26"/>
        <v>1476.14</v>
      </c>
      <c r="P487" t="s">
        <v>221</v>
      </c>
    </row>
    <row r="488" spans="1:16" x14ac:dyDescent="0.3">
      <c r="A488" s="6">
        <v>487</v>
      </c>
      <c r="B488" s="37">
        <v>45883</v>
      </c>
      <c r="C488" s="2" t="str">
        <f t="shared" si="24"/>
        <v>Aug</v>
      </c>
      <c r="D488" s="6">
        <f t="shared" si="25"/>
        <v>2025</v>
      </c>
      <c r="E488" s="6">
        <v>26</v>
      </c>
      <c r="F488" s="4" t="s">
        <v>168</v>
      </c>
      <c r="G488" s="6">
        <v>26</v>
      </c>
      <c r="H488" t="s">
        <v>32</v>
      </c>
      <c r="I488" t="s">
        <v>33</v>
      </c>
      <c r="J488">
        <v>21</v>
      </c>
      <c r="K488" t="s">
        <v>66</v>
      </c>
      <c r="L488" t="s">
        <v>19</v>
      </c>
      <c r="M488" s="8">
        <v>842.75</v>
      </c>
      <c r="N488" s="6">
        <v>5</v>
      </c>
      <c r="O488" s="8">
        <f t="shared" si="26"/>
        <v>4213.75</v>
      </c>
      <c r="P488" t="s">
        <v>222</v>
      </c>
    </row>
    <row r="489" spans="1:16" x14ac:dyDescent="0.3">
      <c r="A489" s="6">
        <v>488</v>
      </c>
      <c r="B489" s="37">
        <v>45509</v>
      </c>
      <c r="C489" s="2" t="str">
        <f t="shared" si="24"/>
        <v>Aug</v>
      </c>
      <c r="D489" s="6">
        <f t="shared" si="25"/>
        <v>2024</v>
      </c>
      <c r="E489" s="6">
        <v>50</v>
      </c>
      <c r="F489" s="4" t="s">
        <v>185</v>
      </c>
      <c r="G489" s="6">
        <v>26</v>
      </c>
      <c r="H489" t="s">
        <v>52</v>
      </c>
      <c r="I489" t="s">
        <v>53</v>
      </c>
      <c r="J489">
        <v>12</v>
      </c>
      <c r="K489" t="s">
        <v>37</v>
      </c>
      <c r="L489" t="s">
        <v>38</v>
      </c>
      <c r="M489" s="8">
        <v>1036.1199999999999</v>
      </c>
      <c r="N489" s="6">
        <v>2</v>
      </c>
      <c r="O489" s="8">
        <f t="shared" si="26"/>
        <v>2072.2399999999998</v>
      </c>
      <c r="P489" t="s">
        <v>219</v>
      </c>
    </row>
    <row r="490" spans="1:16" x14ac:dyDescent="0.3">
      <c r="A490" s="6">
        <v>489</v>
      </c>
      <c r="B490" s="37">
        <v>45964</v>
      </c>
      <c r="C490" s="2" t="str">
        <f t="shared" si="24"/>
        <v>Nov</v>
      </c>
      <c r="D490" s="6">
        <f t="shared" si="25"/>
        <v>2025</v>
      </c>
      <c r="E490" s="6">
        <v>67</v>
      </c>
      <c r="F490" s="4" t="s">
        <v>131</v>
      </c>
      <c r="G490" s="6">
        <v>23</v>
      </c>
      <c r="H490" t="s">
        <v>52</v>
      </c>
      <c r="I490" t="s">
        <v>53</v>
      </c>
      <c r="J490">
        <v>23</v>
      </c>
      <c r="K490" t="s">
        <v>18</v>
      </c>
      <c r="L490" t="s">
        <v>19</v>
      </c>
      <c r="M490" s="8">
        <v>195.22</v>
      </c>
      <c r="N490" s="6">
        <v>4</v>
      </c>
      <c r="O490" s="8">
        <f t="shared" si="26"/>
        <v>780.88</v>
      </c>
      <c r="P490" t="s">
        <v>219</v>
      </c>
    </row>
    <row r="491" spans="1:16" x14ac:dyDescent="0.3">
      <c r="A491" s="6">
        <v>490</v>
      </c>
      <c r="B491" s="37">
        <v>45521</v>
      </c>
      <c r="C491" s="2" t="str">
        <f t="shared" si="24"/>
        <v>Aug</v>
      </c>
      <c r="D491" s="6">
        <f t="shared" si="25"/>
        <v>2024</v>
      </c>
      <c r="E491" s="6">
        <v>48</v>
      </c>
      <c r="F491" s="4" t="s">
        <v>114</v>
      </c>
      <c r="G491" s="6">
        <v>20</v>
      </c>
      <c r="H491" t="s">
        <v>32</v>
      </c>
      <c r="I491" t="s">
        <v>33</v>
      </c>
      <c r="J491">
        <v>22</v>
      </c>
      <c r="K491" t="s">
        <v>85</v>
      </c>
      <c r="L491" t="s">
        <v>19</v>
      </c>
      <c r="M491" s="8">
        <v>1377.44</v>
      </c>
      <c r="N491" s="6">
        <v>1</v>
      </c>
      <c r="O491" s="8">
        <f t="shared" si="26"/>
        <v>1377.44</v>
      </c>
      <c r="P491" t="s">
        <v>219</v>
      </c>
    </row>
    <row r="492" spans="1:16" x14ac:dyDescent="0.3">
      <c r="A492" s="6">
        <v>491</v>
      </c>
      <c r="B492" s="37">
        <v>45650</v>
      </c>
      <c r="C492" s="2" t="str">
        <f t="shared" si="24"/>
        <v>Dec</v>
      </c>
      <c r="D492" s="6">
        <f t="shared" si="25"/>
        <v>2024</v>
      </c>
      <c r="E492" s="6">
        <v>36</v>
      </c>
      <c r="F492" s="4" t="s">
        <v>144</v>
      </c>
      <c r="G492" s="6">
        <v>49</v>
      </c>
      <c r="H492" t="s">
        <v>32</v>
      </c>
      <c r="I492" t="s">
        <v>33</v>
      </c>
      <c r="J492">
        <v>18</v>
      </c>
      <c r="K492" t="s">
        <v>68</v>
      </c>
      <c r="L492" t="s">
        <v>43</v>
      </c>
      <c r="M492" s="8">
        <v>1209.0999999999999</v>
      </c>
      <c r="N492" s="6">
        <v>5</v>
      </c>
      <c r="O492" s="8">
        <f t="shared" si="26"/>
        <v>6045.5</v>
      </c>
      <c r="P492" t="s">
        <v>220</v>
      </c>
    </row>
    <row r="493" spans="1:16" x14ac:dyDescent="0.3">
      <c r="A493" s="6">
        <v>492</v>
      </c>
      <c r="B493" s="37">
        <v>45668</v>
      </c>
      <c r="C493" s="2" t="str">
        <f t="shared" si="24"/>
        <v>Jan</v>
      </c>
      <c r="D493" s="6">
        <f t="shared" si="25"/>
        <v>2025</v>
      </c>
      <c r="E493" s="6">
        <v>32</v>
      </c>
      <c r="F493" s="4" t="s">
        <v>116</v>
      </c>
      <c r="G493" s="6">
        <v>45</v>
      </c>
      <c r="H493" t="s">
        <v>16</v>
      </c>
      <c r="I493" t="s">
        <v>17</v>
      </c>
      <c r="J493">
        <v>5</v>
      </c>
      <c r="K493" t="s">
        <v>82</v>
      </c>
      <c r="L493" t="s">
        <v>29</v>
      </c>
      <c r="M493" s="8">
        <v>691.29</v>
      </c>
      <c r="N493" s="6">
        <v>1</v>
      </c>
      <c r="O493" s="8">
        <f t="shared" si="26"/>
        <v>691.29</v>
      </c>
      <c r="P493" t="s">
        <v>221</v>
      </c>
    </row>
    <row r="494" spans="1:16" x14ac:dyDescent="0.3">
      <c r="A494" s="6">
        <v>493</v>
      </c>
      <c r="B494" s="37">
        <v>45577</v>
      </c>
      <c r="C494" s="2" t="str">
        <f t="shared" si="24"/>
        <v>Oct</v>
      </c>
      <c r="D494" s="6">
        <f t="shared" si="25"/>
        <v>2024</v>
      </c>
      <c r="E494" s="6">
        <v>82</v>
      </c>
      <c r="F494" s="4" t="s">
        <v>133</v>
      </c>
      <c r="G494" s="6">
        <v>58</v>
      </c>
      <c r="H494" t="s">
        <v>16</v>
      </c>
      <c r="I494" t="s">
        <v>17</v>
      </c>
      <c r="J494">
        <v>23</v>
      </c>
      <c r="K494" t="s">
        <v>18</v>
      </c>
      <c r="L494" t="s">
        <v>19</v>
      </c>
      <c r="M494" s="8">
        <v>195.22</v>
      </c>
      <c r="N494" s="6">
        <v>5</v>
      </c>
      <c r="O494" s="8">
        <f t="shared" si="26"/>
        <v>976.1</v>
      </c>
      <c r="P494" t="s">
        <v>220</v>
      </c>
    </row>
    <row r="495" spans="1:16" x14ac:dyDescent="0.3">
      <c r="A495" s="6">
        <v>494</v>
      </c>
      <c r="B495" s="37">
        <v>45523</v>
      </c>
      <c r="C495" s="2" t="str">
        <f t="shared" si="24"/>
        <v>Aug</v>
      </c>
      <c r="D495" s="6">
        <f t="shared" si="25"/>
        <v>2024</v>
      </c>
      <c r="E495" s="6">
        <v>102</v>
      </c>
      <c r="F495" s="4" t="s">
        <v>112</v>
      </c>
      <c r="G495" s="6">
        <v>50</v>
      </c>
      <c r="H495" t="s">
        <v>22</v>
      </c>
      <c r="I495" t="s">
        <v>23</v>
      </c>
      <c r="J495">
        <v>1</v>
      </c>
      <c r="K495" t="s">
        <v>69</v>
      </c>
      <c r="L495" t="s">
        <v>29</v>
      </c>
      <c r="M495" s="8">
        <v>83.63</v>
      </c>
      <c r="N495" s="6">
        <v>4</v>
      </c>
      <c r="O495" s="8">
        <f t="shared" si="26"/>
        <v>334.52</v>
      </c>
      <c r="P495" t="s">
        <v>221</v>
      </c>
    </row>
    <row r="496" spans="1:16" x14ac:dyDescent="0.3">
      <c r="A496" s="6">
        <v>495</v>
      </c>
      <c r="B496" s="37">
        <v>45866</v>
      </c>
      <c r="C496" s="2" t="str">
        <f t="shared" si="24"/>
        <v>Jul</v>
      </c>
      <c r="D496" s="6">
        <f t="shared" si="25"/>
        <v>2025</v>
      </c>
      <c r="E496" s="6">
        <v>9</v>
      </c>
      <c r="F496" s="4" t="s">
        <v>126</v>
      </c>
      <c r="G496" s="6">
        <v>42</v>
      </c>
      <c r="H496" t="s">
        <v>16</v>
      </c>
      <c r="I496" t="s">
        <v>17</v>
      </c>
      <c r="J496">
        <v>29</v>
      </c>
      <c r="K496" t="s">
        <v>65</v>
      </c>
      <c r="L496" t="s">
        <v>25</v>
      </c>
      <c r="M496" s="8">
        <v>1136.55</v>
      </c>
      <c r="N496" s="6">
        <v>5</v>
      </c>
      <c r="O496" s="8">
        <f t="shared" si="26"/>
        <v>5682.75</v>
      </c>
      <c r="P496" t="s">
        <v>219</v>
      </c>
    </row>
    <row r="497" spans="1:16" x14ac:dyDescent="0.3">
      <c r="A497" s="6">
        <v>496</v>
      </c>
      <c r="B497" s="37">
        <v>45920</v>
      </c>
      <c r="C497" s="2" t="str">
        <f t="shared" si="24"/>
        <v>Sept</v>
      </c>
      <c r="D497" s="6">
        <f t="shared" si="25"/>
        <v>2025</v>
      </c>
      <c r="E497" s="6">
        <v>76</v>
      </c>
      <c r="F497" s="4" t="s">
        <v>166</v>
      </c>
      <c r="G497" s="6">
        <v>22</v>
      </c>
      <c r="H497" t="s">
        <v>22</v>
      </c>
      <c r="I497" t="s">
        <v>23</v>
      </c>
      <c r="J497">
        <v>9</v>
      </c>
      <c r="K497" t="s">
        <v>76</v>
      </c>
      <c r="L497" t="s">
        <v>71</v>
      </c>
      <c r="M497" s="8">
        <v>585.21</v>
      </c>
      <c r="N497" s="6">
        <v>6</v>
      </c>
      <c r="O497" s="8">
        <f t="shared" si="26"/>
        <v>3511.26</v>
      </c>
      <c r="P497" t="s">
        <v>221</v>
      </c>
    </row>
    <row r="498" spans="1:16" x14ac:dyDescent="0.3">
      <c r="A498" s="6">
        <v>497</v>
      </c>
      <c r="B498" s="37">
        <v>45950</v>
      </c>
      <c r="C498" s="2" t="str">
        <f t="shared" si="24"/>
        <v>Oct</v>
      </c>
      <c r="D498" s="6">
        <f t="shared" si="25"/>
        <v>2025</v>
      </c>
      <c r="E498" s="6">
        <v>118</v>
      </c>
      <c r="F498" s="4" t="s">
        <v>141</v>
      </c>
      <c r="G498" s="6">
        <v>36</v>
      </c>
      <c r="H498" t="s">
        <v>52</v>
      </c>
      <c r="I498" t="s">
        <v>53</v>
      </c>
      <c r="J498">
        <v>2</v>
      </c>
      <c r="K498" t="s">
        <v>34</v>
      </c>
      <c r="L498" t="s">
        <v>29</v>
      </c>
      <c r="M498" s="8">
        <v>1476.14</v>
      </c>
      <c r="N498" s="6">
        <v>5</v>
      </c>
      <c r="O498" s="8">
        <f t="shared" si="26"/>
        <v>7380.7000000000007</v>
      </c>
      <c r="P498" t="s">
        <v>220</v>
      </c>
    </row>
    <row r="499" spans="1:16" x14ac:dyDescent="0.3">
      <c r="A499" s="6">
        <v>498</v>
      </c>
      <c r="B499" s="37">
        <v>45318</v>
      </c>
      <c r="C499" s="2" t="str">
        <f t="shared" si="24"/>
        <v>Jan</v>
      </c>
      <c r="D499" s="6">
        <f t="shared" si="25"/>
        <v>2024</v>
      </c>
      <c r="E499" s="6">
        <v>114</v>
      </c>
      <c r="F499" s="4" t="s">
        <v>127</v>
      </c>
      <c r="G499" s="6">
        <v>18</v>
      </c>
      <c r="H499" t="s">
        <v>22</v>
      </c>
      <c r="I499" t="s">
        <v>23</v>
      </c>
      <c r="J499">
        <v>19</v>
      </c>
      <c r="K499" t="s">
        <v>84</v>
      </c>
      <c r="L499" t="s">
        <v>43</v>
      </c>
      <c r="M499" s="8">
        <v>1048.43</v>
      </c>
      <c r="N499" s="6">
        <v>5</v>
      </c>
      <c r="O499" s="8">
        <f t="shared" si="26"/>
        <v>5242.1500000000005</v>
      </c>
      <c r="P499" t="s">
        <v>221</v>
      </c>
    </row>
    <row r="500" spans="1:16" x14ac:dyDescent="0.3">
      <c r="A500" s="6">
        <v>499</v>
      </c>
      <c r="B500" s="37">
        <v>45965</v>
      </c>
      <c r="C500" s="2" t="str">
        <f t="shared" si="24"/>
        <v>Nov</v>
      </c>
      <c r="D500" s="6">
        <f t="shared" si="25"/>
        <v>2025</v>
      </c>
      <c r="E500" s="6">
        <v>25</v>
      </c>
      <c r="F500" s="4" t="s">
        <v>137</v>
      </c>
      <c r="G500" s="6">
        <v>45</v>
      </c>
      <c r="H500" t="s">
        <v>22</v>
      </c>
      <c r="I500" t="s">
        <v>23</v>
      </c>
      <c r="J500">
        <v>20</v>
      </c>
      <c r="K500" t="s">
        <v>58</v>
      </c>
      <c r="L500" t="s">
        <v>43</v>
      </c>
      <c r="M500" s="8">
        <v>704.86</v>
      </c>
      <c r="N500" s="6">
        <v>6</v>
      </c>
      <c r="O500" s="8">
        <f t="shared" si="26"/>
        <v>4229.16</v>
      </c>
      <c r="P500" t="s">
        <v>219</v>
      </c>
    </row>
    <row r="501" spans="1:16" x14ac:dyDescent="0.3">
      <c r="A501" s="6">
        <v>500</v>
      </c>
      <c r="B501" s="37">
        <v>45565</v>
      </c>
      <c r="C501" s="2" t="str">
        <f t="shared" si="24"/>
        <v>Sept</v>
      </c>
      <c r="D501" s="6">
        <f t="shared" si="25"/>
        <v>2024</v>
      </c>
      <c r="E501" s="6">
        <v>94</v>
      </c>
      <c r="F501" s="4" t="s">
        <v>172</v>
      </c>
      <c r="G501" s="6">
        <v>69</v>
      </c>
      <c r="H501" t="s">
        <v>49</v>
      </c>
      <c r="I501" t="s">
        <v>50</v>
      </c>
      <c r="J501">
        <v>25</v>
      </c>
      <c r="K501" t="s">
        <v>61</v>
      </c>
      <c r="L501" t="s">
        <v>19</v>
      </c>
      <c r="M501" s="8">
        <v>705</v>
      </c>
      <c r="N501" s="6">
        <v>1</v>
      </c>
      <c r="O501" s="8">
        <f t="shared" si="26"/>
        <v>705</v>
      </c>
      <c r="P501" t="s">
        <v>219</v>
      </c>
    </row>
    <row r="505" spans="1:16" ht="18" x14ac:dyDescent="0.3">
      <c r="A505" s="12"/>
      <c r="B505" s="38"/>
      <c r="C505" s="13"/>
      <c r="D505" s="14"/>
      <c r="E505" s="14"/>
      <c r="F505" s="15"/>
    </row>
    <row r="506" spans="1:16" x14ac:dyDescent="0.3">
      <c r="B506" s="43"/>
      <c r="C506" s="44"/>
    </row>
    <row r="507" spans="1:16" ht="18" x14ac:dyDescent="0.35">
      <c r="E507" s="16"/>
      <c r="F507" s="35"/>
      <c r="G507" s="35"/>
      <c r="H507" s="16"/>
      <c r="J507" s="11"/>
      <c r="K507" s="11"/>
    </row>
    <row r="508" spans="1:16" x14ac:dyDescent="0.3">
      <c r="F508" s="2"/>
      <c r="J508" s="17"/>
      <c r="K508" s="17"/>
    </row>
    <row r="509" spans="1:16" x14ac:dyDescent="0.3">
      <c r="F509" s="2"/>
      <c r="G509" s="22"/>
      <c r="I509" s="22"/>
      <c r="J509" s="17"/>
      <c r="K509" s="18"/>
    </row>
    <row r="510" spans="1:16" x14ac:dyDescent="0.3">
      <c r="F510" s="2"/>
      <c r="G510" s="22"/>
      <c r="J510" s="17"/>
      <c r="K510" s="17"/>
    </row>
    <row r="511" spans="1:16" x14ac:dyDescent="0.3">
      <c r="F511" s="2"/>
      <c r="J511" s="11"/>
      <c r="K511" s="11"/>
    </row>
    <row r="512" spans="1:16" x14ac:dyDescent="0.3">
      <c r="F512" s="2"/>
      <c r="G512" s="25"/>
      <c r="J512" s="17"/>
      <c r="K512" s="17"/>
    </row>
    <row r="513" spans="6:11" x14ac:dyDescent="0.3">
      <c r="F513" s="17"/>
      <c r="G513" s="20"/>
      <c r="J513" s="17"/>
      <c r="K513" s="19"/>
    </row>
    <row r="514" spans="6:11" x14ac:dyDescent="0.3">
      <c r="G514"/>
      <c r="J514" s="17"/>
      <c r="K514" s="19"/>
    </row>
    <row r="515" spans="6:11" x14ac:dyDescent="0.3">
      <c r="F515" s="2"/>
      <c r="G515" s="23"/>
      <c r="J515" s="17"/>
      <c r="K515" s="17"/>
    </row>
    <row r="516" spans="6:11" x14ac:dyDescent="0.3">
      <c r="F516" s="2"/>
      <c r="J516" s="11"/>
      <c r="K516" s="11"/>
    </row>
    <row r="517" spans="6:11" x14ac:dyDescent="0.3">
      <c r="J517" s="17"/>
      <c r="K517" s="20"/>
    </row>
    <row r="518" spans="6:11" x14ac:dyDescent="0.3">
      <c r="J518" s="17"/>
      <c r="K518" s="20"/>
    </row>
    <row r="519" spans="6:11" x14ac:dyDescent="0.3">
      <c r="J519" s="17"/>
      <c r="K519" s="20"/>
    </row>
    <row r="520" spans="6:11" x14ac:dyDescent="0.3">
      <c r="J520" s="17"/>
      <c r="K520" s="17"/>
    </row>
    <row r="521" spans="6:11" x14ac:dyDescent="0.3">
      <c r="J521" s="11"/>
      <c r="K521" s="11"/>
    </row>
    <row r="522" spans="6:11" x14ac:dyDescent="0.3">
      <c r="J522" s="17"/>
      <c r="K522" s="17"/>
    </row>
    <row r="523" spans="6:11" x14ac:dyDescent="0.3">
      <c r="J523" s="17"/>
      <c r="K523" s="17"/>
    </row>
  </sheetData>
  <pageMargins left="0.75" right="0.75" top="1" bottom="1" header="0.5" footer="0.5"/>
  <pageSetup paperSize="9" orientation="portrait" r:id="rId1"/>
  <tableParts count="4">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CBA75-3986-4906-9FA3-C4934C1CC30D}">
  <dimension ref="A3:H87"/>
  <sheetViews>
    <sheetView topLeftCell="A10" workbookViewId="0">
      <selection activeCell="C2" sqref="C2"/>
    </sheetView>
  </sheetViews>
  <sheetFormatPr defaultRowHeight="14.4" x14ac:dyDescent="0.3"/>
  <cols>
    <col min="1" max="1" width="14" bestFit="1" customWidth="1"/>
    <col min="2" max="2" width="14.88671875" bestFit="1" customWidth="1"/>
    <col min="3" max="3" width="10.21875" bestFit="1" customWidth="1"/>
    <col min="4" max="4" width="11.77734375" bestFit="1" customWidth="1"/>
    <col min="5" max="6" width="25.77734375" bestFit="1" customWidth="1"/>
    <col min="7" max="7" width="14.44140625" bestFit="1" customWidth="1"/>
  </cols>
  <sheetData>
    <row r="3" spans="1:2" x14ac:dyDescent="0.3">
      <c r="A3" s="21" t="s">
        <v>194</v>
      </c>
      <c r="B3" t="s">
        <v>196</v>
      </c>
    </row>
    <row r="4" spans="1:2" x14ac:dyDescent="0.3">
      <c r="A4" s="4" t="s">
        <v>50</v>
      </c>
      <c r="B4" s="24">
        <v>193006.29000000004</v>
      </c>
    </row>
    <row r="5" spans="1:2" x14ac:dyDescent="0.3">
      <c r="A5" s="4" t="s">
        <v>23</v>
      </c>
      <c r="B5" s="24">
        <v>232982.09999999998</v>
      </c>
    </row>
    <row r="6" spans="1:2" x14ac:dyDescent="0.3">
      <c r="A6" s="4" t="s">
        <v>17</v>
      </c>
      <c r="B6" s="24">
        <v>253258.06000000011</v>
      </c>
    </row>
    <row r="7" spans="1:2" x14ac:dyDescent="0.3">
      <c r="A7" s="4" t="s">
        <v>53</v>
      </c>
      <c r="B7" s="24">
        <v>283062.85000000003</v>
      </c>
    </row>
    <row r="8" spans="1:2" x14ac:dyDescent="0.3">
      <c r="A8" s="4" t="s">
        <v>33</v>
      </c>
      <c r="B8" s="24">
        <v>556562.46</v>
      </c>
    </row>
    <row r="9" spans="1:2" x14ac:dyDescent="0.3">
      <c r="A9" s="4" t="s">
        <v>195</v>
      </c>
      <c r="B9" s="24">
        <v>1518871.7599999981</v>
      </c>
    </row>
    <row r="14" spans="1:2" x14ac:dyDescent="0.3">
      <c r="A14" s="21" t="s">
        <v>194</v>
      </c>
      <c r="B14" t="s">
        <v>196</v>
      </c>
    </row>
    <row r="15" spans="1:2" x14ac:dyDescent="0.3">
      <c r="A15" s="4" t="s">
        <v>19</v>
      </c>
      <c r="B15" s="24">
        <v>185257.89</v>
      </c>
    </row>
    <row r="16" spans="1:2" x14ac:dyDescent="0.3">
      <c r="A16" s="4" t="s">
        <v>71</v>
      </c>
      <c r="B16" s="24">
        <v>199777.15000000008</v>
      </c>
    </row>
    <row r="17" spans="1:2" x14ac:dyDescent="0.3">
      <c r="A17" s="4" t="s">
        <v>29</v>
      </c>
      <c r="B17" s="24">
        <v>268173.44999999995</v>
      </c>
    </row>
    <row r="18" spans="1:2" x14ac:dyDescent="0.3">
      <c r="A18" s="4" t="s">
        <v>25</v>
      </c>
      <c r="B18" s="24">
        <v>268851.01000000018</v>
      </c>
    </row>
    <row r="19" spans="1:2" x14ac:dyDescent="0.3">
      <c r="A19" s="4" t="s">
        <v>43</v>
      </c>
      <c r="B19" s="24">
        <v>289383.35999999993</v>
      </c>
    </row>
    <row r="20" spans="1:2" x14ac:dyDescent="0.3">
      <c r="A20" s="4" t="s">
        <v>38</v>
      </c>
      <c r="B20" s="24">
        <v>307428.89999999997</v>
      </c>
    </row>
    <row r="21" spans="1:2" x14ac:dyDescent="0.3">
      <c r="A21" s="4" t="s">
        <v>195</v>
      </c>
      <c r="B21" s="24">
        <v>1518871.7599999981</v>
      </c>
    </row>
    <row r="25" spans="1:2" x14ac:dyDescent="0.3">
      <c r="A25" s="21" t="s">
        <v>194</v>
      </c>
      <c r="B25" t="s">
        <v>196</v>
      </c>
    </row>
    <row r="26" spans="1:2" x14ac:dyDescent="0.3">
      <c r="A26" s="4" t="s">
        <v>197</v>
      </c>
      <c r="B26" s="24">
        <v>695223.10999999975</v>
      </c>
    </row>
    <row r="27" spans="1:2" x14ac:dyDescent="0.3">
      <c r="A27" s="4" t="s">
        <v>198</v>
      </c>
      <c r="B27" s="24">
        <v>823648.65000000014</v>
      </c>
    </row>
    <row r="28" spans="1:2" x14ac:dyDescent="0.3">
      <c r="A28" s="4" t="s">
        <v>195</v>
      </c>
      <c r="B28" s="24">
        <v>1518871.7599999981</v>
      </c>
    </row>
    <row r="40" spans="1:2" x14ac:dyDescent="0.3">
      <c r="A40" s="21" t="s">
        <v>194</v>
      </c>
      <c r="B40" t="s">
        <v>196</v>
      </c>
    </row>
    <row r="41" spans="1:2" x14ac:dyDescent="0.3">
      <c r="A41" s="4" t="s">
        <v>40</v>
      </c>
      <c r="B41" s="24">
        <v>113951.00000000001</v>
      </c>
    </row>
    <row r="42" spans="1:2" x14ac:dyDescent="0.3">
      <c r="A42" s="4" t="s">
        <v>34</v>
      </c>
      <c r="B42" s="24">
        <v>98901.379999999976</v>
      </c>
    </row>
    <row r="43" spans="1:2" x14ac:dyDescent="0.3">
      <c r="A43" s="4" t="s">
        <v>85</v>
      </c>
      <c r="B43" s="24">
        <v>88156.160000000033</v>
      </c>
    </row>
    <row r="44" spans="1:2" x14ac:dyDescent="0.3">
      <c r="A44" s="4" t="s">
        <v>64</v>
      </c>
      <c r="B44" s="24">
        <v>86650.299999999988</v>
      </c>
    </row>
    <row r="45" spans="1:2" x14ac:dyDescent="0.3">
      <c r="A45" s="4" t="s">
        <v>68</v>
      </c>
      <c r="B45" s="24">
        <v>85846.1</v>
      </c>
    </row>
    <row r="46" spans="1:2" x14ac:dyDescent="0.3">
      <c r="A46" s="4" t="s">
        <v>195</v>
      </c>
      <c r="B46" s="24">
        <v>473504.94000000029</v>
      </c>
    </row>
    <row r="55" spans="1:5" x14ac:dyDescent="0.3">
      <c r="A55" t="s">
        <v>196</v>
      </c>
      <c r="B55" t="s">
        <v>200</v>
      </c>
      <c r="C55" t="s">
        <v>199</v>
      </c>
      <c r="D55" t="s">
        <v>201</v>
      </c>
      <c r="E55" t="s">
        <v>217</v>
      </c>
    </row>
    <row r="56" spans="1:5" x14ac:dyDescent="0.3">
      <c r="A56" s="24">
        <v>1518871.7599999981</v>
      </c>
      <c r="B56" s="24">
        <v>3037.7435199999964</v>
      </c>
      <c r="C56" s="39">
        <v>1763</v>
      </c>
      <c r="D56" s="60">
        <v>500</v>
      </c>
      <c r="E56" s="60">
        <v>117</v>
      </c>
    </row>
    <row r="59" spans="1:5" x14ac:dyDescent="0.3">
      <c r="A59" s="21" t="s">
        <v>196</v>
      </c>
      <c r="B59" s="21" t="s">
        <v>215</v>
      </c>
    </row>
    <row r="60" spans="1:5" x14ac:dyDescent="0.3">
      <c r="A60" s="21" t="s">
        <v>194</v>
      </c>
      <c r="B60">
        <v>2024</v>
      </c>
      <c r="C60">
        <v>2025</v>
      </c>
      <c r="D60" t="s">
        <v>195</v>
      </c>
    </row>
    <row r="61" spans="1:5" x14ac:dyDescent="0.3">
      <c r="A61" s="4" t="s">
        <v>203</v>
      </c>
      <c r="B61" s="24">
        <v>62445.210000000006</v>
      </c>
      <c r="C61" s="24">
        <v>45940.51</v>
      </c>
      <c r="D61" s="24">
        <v>108385.72</v>
      </c>
    </row>
    <row r="62" spans="1:5" x14ac:dyDescent="0.3">
      <c r="A62" s="4" t="s">
        <v>204</v>
      </c>
      <c r="B62" s="24">
        <v>34598.78</v>
      </c>
      <c r="C62" s="24">
        <v>67364.900000000009</v>
      </c>
      <c r="D62" s="24">
        <v>101963.68</v>
      </c>
    </row>
    <row r="63" spans="1:5" x14ac:dyDescent="0.3">
      <c r="A63" s="4" t="s">
        <v>205</v>
      </c>
      <c r="B63" s="24">
        <v>63008.249999999993</v>
      </c>
      <c r="C63" s="24">
        <v>70377.87000000001</v>
      </c>
      <c r="D63" s="24">
        <v>133386.12000000002</v>
      </c>
    </row>
    <row r="64" spans="1:5" x14ac:dyDescent="0.3">
      <c r="A64" s="4" t="s">
        <v>206</v>
      </c>
      <c r="B64" s="24">
        <v>60556.969999999994</v>
      </c>
      <c r="C64" s="24">
        <v>102962.52999999996</v>
      </c>
      <c r="D64" s="24">
        <v>163519.5</v>
      </c>
    </row>
    <row r="65" spans="1:8" x14ac:dyDescent="0.3">
      <c r="A65" s="4" t="s">
        <v>207</v>
      </c>
      <c r="B65" s="24">
        <v>56337.24</v>
      </c>
      <c r="C65" s="24">
        <v>58979.17</v>
      </c>
      <c r="D65" s="24">
        <v>115316.41000000003</v>
      </c>
    </row>
    <row r="66" spans="1:8" x14ac:dyDescent="0.3">
      <c r="A66" s="4" t="s">
        <v>208</v>
      </c>
      <c r="B66" s="24">
        <v>45336.63</v>
      </c>
      <c r="C66" s="24">
        <v>43608.12</v>
      </c>
      <c r="D66" s="24">
        <v>88944.75</v>
      </c>
    </row>
    <row r="67" spans="1:8" x14ac:dyDescent="0.3">
      <c r="A67" s="4" t="s">
        <v>209</v>
      </c>
      <c r="B67" s="24">
        <v>34807.160000000003</v>
      </c>
      <c r="C67" s="24">
        <v>65055.49</v>
      </c>
      <c r="D67" s="24">
        <v>99862.65</v>
      </c>
    </row>
    <row r="68" spans="1:8" x14ac:dyDescent="0.3">
      <c r="A68" s="4" t="s">
        <v>210</v>
      </c>
      <c r="B68" s="24">
        <v>59867.069999999992</v>
      </c>
      <c r="C68" s="24">
        <v>76110.320000000007</v>
      </c>
      <c r="D68" s="24">
        <v>135977.38999999998</v>
      </c>
    </row>
    <row r="69" spans="1:8" x14ac:dyDescent="0.3">
      <c r="A69" s="4" t="s">
        <v>211</v>
      </c>
      <c r="B69" s="24">
        <v>49853.599999999999</v>
      </c>
      <c r="C69" s="24">
        <v>72675.010000000009</v>
      </c>
      <c r="D69" s="24">
        <v>122528.61</v>
      </c>
    </row>
    <row r="70" spans="1:8" x14ac:dyDescent="0.3">
      <c r="A70" s="4" t="s">
        <v>212</v>
      </c>
      <c r="B70" s="24">
        <v>89485.95</v>
      </c>
      <c r="C70" s="24">
        <v>74714.819999999992</v>
      </c>
      <c r="D70" s="24">
        <v>164200.77000000005</v>
      </c>
    </row>
    <row r="71" spans="1:8" x14ac:dyDescent="0.3">
      <c r="A71" s="4" t="s">
        <v>213</v>
      </c>
      <c r="B71" s="24">
        <v>76893.75</v>
      </c>
      <c r="C71" s="24">
        <v>97912.140000000014</v>
      </c>
      <c r="D71" s="24">
        <v>174805.89</v>
      </c>
    </row>
    <row r="72" spans="1:8" x14ac:dyDescent="0.3">
      <c r="A72" s="4" t="s">
        <v>214</v>
      </c>
      <c r="B72" s="24">
        <v>62032.5</v>
      </c>
      <c r="C72" s="24">
        <v>47947.77</v>
      </c>
      <c r="D72" s="24">
        <v>109980.26999999996</v>
      </c>
    </row>
    <row r="73" spans="1:8" x14ac:dyDescent="0.3">
      <c r="A73" s="4" t="s">
        <v>195</v>
      </c>
      <c r="B73" s="24">
        <v>695223.10999999975</v>
      </c>
      <c r="C73" s="24">
        <v>823648.65000000014</v>
      </c>
      <c r="D73" s="24">
        <v>1518871.7599999981</v>
      </c>
    </row>
    <row r="76" spans="1:8" ht="15" thickBot="1" x14ac:dyDescent="0.35">
      <c r="A76" s="21" t="s">
        <v>194</v>
      </c>
      <c r="B76" s="34" t="s">
        <v>196</v>
      </c>
      <c r="C76" t="s">
        <v>200</v>
      </c>
      <c r="D76" t="s">
        <v>201</v>
      </c>
      <c r="E76" t="s">
        <v>199</v>
      </c>
      <c r="F76" t="s">
        <v>217</v>
      </c>
      <c r="G76" s="42" t="s">
        <v>227</v>
      </c>
      <c r="H76" s="42"/>
    </row>
    <row r="77" spans="1:8" ht="15" thickTop="1" x14ac:dyDescent="0.3">
      <c r="A77" s="4">
        <v>2024</v>
      </c>
      <c r="B77" s="24">
        <v>695223.10999999975</v>
      </c>
      <c r="C77" s="34">
        <v>2958.3962127659565</v>
      </c>
      <c r="D77" s="60">
        <v>235</v>
      </c>
      <c r="E77" s="60">
        <v>815</v>
      </c>
      <c r="F77" s="60">
        <v>103</v>
      </c>
      <c r="G77" s="27" t="s">
        <v>193</v>
      </c>
      <c r="H77" s="28">
        <f>(B78-B77)/B77</f>
        <v>0.18472564872016473</v>
      </c>
    </row>
    <row r="78" spans="1:8" x14ac:dyDescent="0.3">
      <c r="A78" s="4">
        <v>2025</v>
      </c>
      <c r="B78" s="24">
        <v>823648.65000000014</v>
      </c>
      <c r="C78" s="34">
        <v>3108.1081132075478</v>
      </c>
      <c r="D78" s="60">
        <v>265</v>
      </c>
      <c r="E78" s="60">
        <v>948</v>
      </c>
      <c r="F78" s="60">
        <v>111</v>
      </c>
      <c r="G78" s="29"/>
      <c r="H78" s="30"/>
    </row>
    <row r="79" spans="1:8" x14ac:dyDescent="0.3">
      <c r="A79" s="4" t="s">
        <v>195</v>
      </c>
      <c r="B79" s="24">
        <v>1518871.7599999981</v>
      </c>
      <c r="C79" s="34">
        <v>3037.7435199999964</v>
      </c>
      <c r="D79" s="60">
        <v>500</v>
      </c>
      <c r="E79" s="60">
        <v>1763</v>
      </c>
      <c r="F79" s="60">
        <v>117</v>
      </c>
      <c r="G79" s="31" t="s">
        <v>223</v>
      </c>
      <c r="H79" s="32">
        <f>(C78-C77)/C77</f>
        <v>5.0605763959391349E-2</v>
      </c>
    </row>
    <row r="80" spans="1:8" x14ac:dyDescent="0.3">
      <c r="G80" s="31"/>
      <c r="H80" s="33"/>
    </row>
    <row r="81" spans="1:8" x14ac:dyDescent="0.3">
      <c r="G81" s="33" t="s">
        <v>224</v>
      </c>
      <c r="H81" s="32">
        <f>(D78-D77)/D77</f>
        <v>0.1276595744680851</v>
      </c>
    </row>
    <row r="82" spans="1:8" x14ac:dyDescent="0.3">
      <c r="A82" s="21" t="s">
        <v>194</v>
      </c>
      <c r="B82" t="s">
        <v>196</v>
      </c>
      <c r="G82" s="33"/>
      <c r="H82" s="33"/>
    </row>
    <row r="83" spans="1:8" x14ac:dyDescent="0.3">
      <c r="A83" s="4" t="s">
        <v>222</v>
      </c>
      <c r="B83" s="24">
        <v>343785.61000000016</v>
      </c>
      <c r="G83" s="33" t="s">
        <v>225</v>
      </c>
      <c r="H83" s="32">
        <f>(E78-E77)/E77</f>
        <v>0.16319018404907976</v>
      </c>
    </row>
    <row r="84" spans="1:8" x14ac:dyDescent="0.3">
      <c r="A84" s="4" t="s">
        <v>221</v>
      </c>
      <c r="B84" s="24">
        <v>356567.81000000011</v>
      </c>
      <c r="G84" s="33"/>
      <c r="H84" s="33"/>
    </row>
    <row r="85" spans="1:8" x14ac:dyDescent="0.3">
      <c r="A85" s="4" t="s">
        <v>220</v>
      </c>
      <c r="B85" s="24">
        <v>448655.11000000004</v>
      </c>
      <c r="G85" s="33" t="s">
        <v>226</v>
      </c>
      <c r="H85" s="32">
        <f>(F78-F77)/F77</f>
        <v>7.7669902912621352E-2</v>
      </c>
    </row>
    <row r="86" spans="1:8" x14ac:dyDescent="0.3">
      <c r="A86" s="4" t="s">
        <v>219</v>
      </c>
      <c r="B86" s="24">
        <v>369863.22999999992</v>
      </c>
      <c r="G86" s="33"/>
      <c r="H86" s="33"/>
    </row>
    <row r="87" spans="1:8" x14ac:dyDescent="0.3">
      <c r="A87" s="4" t="s">
        <v>195</v>
      </c>
      <c r="B87" s="24">
        <v>1518871.7599999981</v>
      </c>
    </row>
  </sheetData>
  <pageMargins left="0.7" right="0.7" top="0.75" bottom="0.75" header="0.3" footer="0.3"/>
  <pageSetup paperSize="9" orientation="portrait"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F2684-4CE1-46BB-982F-A3F4BBCD8121}">
  <dimension ref="A1:X1"/>
  <sheetViews>
    <sheetView showGridLines="0" showRowColHeaders="0" tabSelected="1" workbookViewId="0">
      <selection activeCell="B2" sqref="B2"/>
    </sheetView>
  </sheetViews>
  <sheetFormatPr defaultRowHeight="14.4" x14ac:dyDescent="0.3"/>
  <cols>
    <col min="1" max="3" width="8.88671875" style="41"/>
    <col min="4" max="24" width="8.88671875" style="40"/>
  </cols>
  <sheetData/>
  <sheetProtection pivotTables="0"/>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Dataset</vt:lpstr>
      <vt:lpstr>Change log</vt:lpstr>
      <vt:lpstr>Processed 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cp:lastPrinted>2026-10-27T16:02:55Z</cp:lastPrinted>
  <dcterms:created xsi:type="dcterms:W3CDTF">2026-08-24T15:55:05Z</dcterms:created>
  <dcterms:modified xsi:type="dcterms:W3CDTF">2026-10-29T23:22:31Z</dcterms:modified>
</cp:coreProperties>
</file>